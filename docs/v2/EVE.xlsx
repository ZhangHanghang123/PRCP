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项目明细" sheetId="1" state="visible" r:id="rId1"/>
    <sheet xmlns:r="http://schemas.openxmlformats.org/officeDocument/2006/relationships" name="EVE计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;-"/>
    <numFmt numFmtId="165" formatCode="0.00&quot;%&quot;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sz val="10"/>
    </font>
    <font>
      <i val="1"/>
      <color rgb="00595959"/>
      <sz val="9"/>
    </font>
    <font>
      <b val="1"/>
      <color rgb="001F4E78"/>
      <sz val="14"/>
    </font>
    <font>
      <i val="1"/>
      <color rgb="00595959"/>
      <sz val="10"/>
    </font>
    <font>
      <b val="1"/>
      <color rgb="001F4E78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4" fillId="0" borderId="1" pivotButton="0" quotePrefix="0" xfId="0"/>
    <xf numFmtId="164" fontId="0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7" fillId="3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8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0" customWidth="1" min="3" max="3"/>
    <col width="22" customWidth="1" min="4" max="4"/>
    <col width="8" customWidth="1" min="5" max="5"/>
    <col width="10" customWidth="1" min="6" max="6"/>
    <col width="9" customWidth="1" min="7" max="7"/>
    <col width="16" customWidth="1" min="8" max="8"/>
    <col width="16" customWidth="1" min="9" max="9"/>
    <col width="14" customWidth="1" min="10" max="10"/>
    <col width="16" customWidth="1" min="11" max="11"/>
    <col width="14" customWidth="1" min="12" max="12"/>
    <col width="18" customWidth="1" min="13" max="13"/>
    <col width="14" customWidth="1" min="14" max="14"/>
    <col width="18" customWidth="1" min="15" max="15"/>
    <col width="14" customWidth="1" min="16" max="16"/>
    <col width="18" customWidth="1" min="17" max="17"/>
    <col width="14" customWidth="1" min="18" max="18"/>
    <col width="18" customWidth="1" min="19" max="19"/>
    <col width="14" customWidth="1" min="20" max="20"/>
    <col width="30" customWidth="1" min="21" max="21"/>
  </cols>
  <sheetData>
    <row r="1" ht="30" customHeight="1">
      <c r="A1" s="1" t="inlineStr">
        <is>
          <t>项目序号</t>
        </is>
      </c>
      <c r="B1" s="1" t="inlineStr">
        <is>
          <t>项目名称</t>
        </is>
      </c>
      <c r="C1" s="1" t="inlineStr">
        <is>
          <t>是否末级节点</t>
        </is>
      </c>
      <c r="D1" s="1" t="inlineStr">
        <is>
          <t>当前余额（人民币元）</t>
        </is>
      </c>
      <c r="E1" s="1" t="inlineStr">
        <is>
          <t>类别</t>
        </is>
      </c>
      <c r="F1" s="1" t="inlineStr">
        <is>
          <t>类型</t>
        </is>
      </c>
      <c r="G1" s="1" t="inlineStr">
        <is>
          <t>久期（年）</t>
        </is>
      </c>
      <c r="H1" s="1" t="inlineStr">
        <is>
          <t>基期PV</t>
        </is>
      </c>
      <c r="I1" s="1" t="inlineStr">
        <is>
          <t>情景1 PV (+200bp)</t>
        </is>
      </c>
      <c r="J1" s="1" t="inlineStr">
        <is>
          <t>情景1 ΔPV</t>
        </is>
      </c>
      <c r="K1" s="1" t="inlineStr">
        <is>
          <t>情景2 PV (-100bp)</t>
        </is>
      </c>
      <c r="L1" s="1" t="inlineStr">
        <is>
          <t>情景2 ΔPV</t>
        </is>
      </c>
      <c r="M1" s="1" t="inlineStr">
        <is>
          <t>情景3 PV (短+250/+100)</t>
        </is>
      </c>
      <c r="N1" s="1" t="inlineStr">
        <is>
          <t>情景3 ΔPV</t>
        </is>
      </c>
      <c r="O1" s="1" t="inlineStr">
        <is>
          <t>情景4 PV (短-100/-50)</t>
        </is>
      </c>
      <c r="P1" s="1" t="inlineStr">
        <is>
          <t>情景4 ΔPV</t>
        </is>
      </c>
      <c r="Q1" s="1" t="inlineStr">
        <is>
          <t>情景5 PV (短-100/+100)</t>
        </is>
      </c>
      <c r="R1" s="1" t="inlineStr">
        <is>
          <t>情景5 ΔPV</t>
        </is>
      </c>
      <c r="S1" s="1" t="inlineStr">
        <is>
          <t>情景6 PV (短+100/-100)</t>
        </is>
      </c>
      <c r="T1" s="1" t="inlineStr">
        <is>
          <t>情景6 ΔPV</t>
        </is>
      </c>
      <c r="U1" s="1" t="inlineStr">
        <is>
          <t>EVE规则说明</t>
        </is>
      </c>
    </row>
    <row r="2">
      <c r="A2" s="2" t="inlineStr">
        <is>
          <t>S010000000000</t>
        </is>
      </c>
      <c r="B2" s="3" t="inlineStr">
        <is>
          <t>总资产</t>
        </is>
      </c>
      <c r="C2" s="4" t="inlineStr">
        <is>
          <t>否</t>
        </is>
      </c>
      <c r="D2" s="5" t="n"/>
      <c r="E2" s="4" t="inlineStr">
        <is>
          <t>汇总</t>
        </is>
      </c>
      <c r="F2" s="6" t="n"/>
      <c r="G2" s="5" t="n"/>
      <c r="H2" s="7">
        <f>D2/(1+0.03)^G2</f>
        <v/>
      </c>
      <c r="I2" s="7">
        <f>D2/(1+0.05)^G2</f>
        <v/>
      </c>
      <c r="J2" s="7">
        <f>H2-I2</f>
        <v/>
      </c>
      <c r="K2" s="7">
        <f>D2/(1+0.02)^G2</f>
        <v/>
      </c>
      <c r="L2" s="7">
        <f>H2-K2</f>
        <v/>
      </c>
      <c r="M2" s="7">
        <f>IF(G2&lt;1,D2/(1+0.05)^G2,D2/(1+0.04)^G2)</f>
        <v/>
      </c>
      <c r="N2" s="7">
        <f>H2-M2</f>
        <v/>
      </c>
      <c r="O2" s="7">
        <f>IF(G2&lt;1,D2/(1+0.02)^G2,D2/(1+0.025)^G2)</f>
        <v/>
      </c>
      <c r="P2" s="7">
        <f>H2-O2</f>
        <v/>
      </c>
      <c r="Q2" s="7">
        <f>IF(G2&lt;1,D2/(1+0.02)^G2,D2/(1+0.04)^G2)</f>
        <v/>
      </c>
      <c r="R2" s="7">
        <f>H2-Q2</f>
        <v/>
      </c>
      <c r="S2" s="7">
        <f>IF(G2&lt;1,D2/(1+0.04)^G2,D2/(1+0.02)^G2)</f>
        <v/>
      </c>
      <c r="T2" s="7">
        <f>H2-S2</f>
        <v/>
      </c>
      <c r="U2" s="8" t="inlineStr">
        <is>
          <t>汇总节点不参与 EVE 计算</t>
        </is>
      </c>
    </row>
    <row r="3">
      <c r="A3" s="2" t="inlineStr">
        <is>
          <t>S010100000000</t>
        </is>
      </c>
      <c r="B3" s="3" t="inlineStr">
        <is>
          <t>（一）人民币小计</t>
        </is>
      </c>
      <c r="C3" s="4" t="inlineStr">
        <is>
          <t>否</t>
        </is>
      </c>
      <c r="D3" s="5" t="n"/>
      <c r="E3" s="4" t="inlineStr">
        <is>
          <t>汇总</t>
        </is>
      </c>
      <c r="F3" s="6" t="n"/>
      <c r="G3" s="5" t="n"/>
      <c r="H3" s="7">
        <f>D3/(1+0.03)^G3</f>
        <v/>
      </c>
      <c r="I3" s="7">
        <f>D3/(1+0.05)^G3</f>
        <v/>
      </c>
      <c r="J3" s="7">
        <f>H3-I3</f>
        <v/>
      </c>
      <c r="K3" s="7">
        <f>D3/(1+0.02)^G3</f>
        <v/>
      </c>
      <c r="L3" s="7">
        <f>H3-K3</f>
        <v/>
      </c>
      <c r="M3" s="7">
        <f>IF(G3&lt;1,D3/(1+0.05)^G3,D3/(1+0.04)^G3)</f>
        <v/>
      </c>
      <c r="N3" s="7">
        <f>H3-M3</f>
        <v/>
      </c>
      <c r="O3" s="7">
        <f>IF(G3&lt;1,D3/(1+0.02)^G3,D3/(1+0.025)^G3)</f>
        <v/>
      </c>
      <c r="P3" s="7">
        <f>H3-O3</f>
        <v/>
      </c>
      <c r="Q3" s="7">
        <f>IF(G3&lt;1,D3/(1+0.02)^G3,D3/(1+0.04)^G3)</f>
        <v/>
      </c>
      <c r="R3" s="7">
        <f>H3-Q3</f>
        <v/>
      </c>
      <c r="S3" s="7">
        <f>IF(G3&lt;1,D3/(1+0.04)^G3,D3/(1+0.02)^G3)</f>
        <v/>
      </c>
      <c r="T3" s="7">
        <f>H3-S3</f>
        <v/>
      </c>
      <c r="U3" s="8" t="inlineStr">
        <is>
          <t>汇总节点不参与 EVE 计算</t>
        </is>
      </c>
    </row>
    <row r="4">
      <c r="A4" s="2" t="inlineStr">
        <is>
          <t>S010101000000</t>
        </is>
      </c>
      <c r="B4" s="3" t="inlineStr">
        <is>
          <t>1.境内人民币各项贷款</t>
        </is>
      </c>
      <c r="C4" s="4" t="inlineStr">
        <is>
          <t>否</t>
        </is>
      </c>
      <c r="D4" s="9" t="n">
        <v>8380847647531.74</v>
      </c>
      <c r="E4" s="4" t="inlineStr">
        <is>
          <t>汇总</t>
        </is>
      </c>
      <c r="F4" s="6" t="n"/>
      <c r="G4" s="5" t="n"/>
      <c r="H4" s="7">
        <f>D4/(1+0.03)^G4</f>
        <v/>
      </c>
      <c r="I4" s="7">
        <f>D4/(1+0.05)^G4</f>
        <v/>
      </c>
      <c r="J4" s="7">
        <f>H4-I4</f>
        <v/>
      </c>
      <c r="K4" s="7">
        <f>D4/(1+0.02)^G4</f>
        <v/>
      </c>
      <c r="L4" s="7">
        <f>H4-K4</f>
        <v/>
      </c>
      <c r="M4" s="7">
        <f>IF(G4&lt;1,D4/(1+0.05)^G4,D4/(1+0.04)^G4)</f>
        <v/>
      </c>
      <c r="N4" s="7">
        <f>H4-M4</f>
        <v/>
      </c>
      <c r="O4" s="7">
        <f>IF(G4&lt;1,D4/(1+0.02)^G4,D4/(1+0.025)^G4)</f>
        <v/>
      </c>
      <c r="P4" s="7">
        <f>H4-O4</f>
        <v/>
      </c>
      <c r="Q4" s="7">
        <f>IF(G4&lt;1,D4/(1+0.02)^G4,D4/(1+0.04)^G4)</f>
        <v/>
      </c>
      <c r="R4" s="7">
        <f>H4-Q4</f>
        <v/>
      </c>
      <c r="S4" s="7">
        <f>IF(G4&lt;1,D4/(1+0.04)^G4,D4/(1+0.02)^G4)</f>
        <v/>
      </c>
      <c r="T4" s="7">
        <f>H4-S4</f>
        <v/>
      </c>
      <c r="U4" s="8" t="inlineStr">
        <is>
          <t>汇总节点不参与 EVE 计算</t>
        </is>
      </c>
    </row>
    <row r="5">
      <c r="A5" s="2" t="inlineStr">
        <is>
          <t>S010101010000</t>
        </is>
      </c>
      <c r="B5" s="3" t="inlineStr">
        <is>
          <t>1.1.对公一般贷款</t>
        </is>
      </c>
      <c r="C5" s="4" t="inlineStr">
        <is>
          <t>是</t>
        </is>
      </c>
      <c r="D5" s="9" t="n">
        <v>2945272044075.94</v>
      </c>
      <c r="E5" s="4" t="inlineStr">
        <is>
          <t>asset</t>
        </is>
      </c>
      <c r="F5" s="4" t="inlineStr">
        <is>
          <t>贷款</t>
        </is>
      </c>
      <c r="G5" s="10" t="n">
        <v>2</v>
      </c>
      <c r="H5" s="7">
        <f>D5/(1+0.03)^G5</f>
        <v/>
      </c>
      <c r="I5" s="7">
        <f>D5/(1+0.05)^G5</f>
        <v/>
      </c>
      <c r="J5" s="7">
        <f>H5-I5</f>
        <v/>
      </c>
      <c r="K5" s="7">
        <f>D5/(1+0.02)^G5</f>
        <v/>
      </c>
      <c r="L5" s="7">
        <f>H5-K5</f>
        <v/>
      </c>
      <c r="M5" s="7">
        <f>IF(G5&lt;1,D5/(1+0.05)^G5,D5/(1+0.04)^G5)</f>
        <v/>
      </c>
      <c r="N5" s="7">
        <f>H5-M5</f>
        <v/>
      </c>
      <c r="O5" s="7">
        <f>IF(G5&lt;1,D5/(1+0.02)^G5,D5/(1+0.025)^G5)</f>
        <v/>
      </c>
      <c r="P5" s="7">
        <f>H5-O5</f>
        <v/>
      </c>
      <c r="Q5" s="7">
        <f>IF(G5&lt;1,D5/(1+0.02)^G5,D5/(1+0.04)^G5)</f>
        <v/>
      </c>
      <c r="R5" s="7">
        <f>H5-Q5</f>
        <v/>
      </c>
      <c r="S5" s="7">
        <f>IF(G5&lt;1,D5/(1+0.04)^G5,D5/(1+0.02)^G5)</f>
        <v/>
      </c>
      <c r="T5" s="7">
        <f>H5-S5</f>
        <v/>
      </c>
      <c r="U5" s="8" t="inlineStr"/>
    </row>
    <row r="6">
      <c r="A6" s="2" t="inlineStr">
        <is>
          <t>S010101020000</t>
        </is>
      </c>
      <c r="B6" s="3" t="inlineStr">
        <is>
          <t>1.2.个人贷款</t>
        </is>
      </c>
      <c r="C6" s="4" t="inlineStr">
        <is>
          <t>是</t>
        </is>
      </c>
      <c r="D6" s="9" t="n">
        <v>1828186569200.79</v>
      </c>
      <c r="E6" s="4" t="inlineStr">
        <is>
          <t>asset</t>
        </is>
      </c>
      <c r="F6" s="4" t="inlineStr">
        <is>
          <t>贷款</t>
        </is>
      </c>
      <c r="G6" s="10" t="n">
        <v>1.05</v>
      </c>
      <c r="H6" s="7">
        <f>D6/(1+0.03)^G6</f>
        <v/>
      </c>
      <c r="I6" s="7">
        <f>D6/(1+0.05)^G6</f>
        <v/>
      </c>
      <c r="J6" s="7">
        <f>H6-I6</f>
        <v/>
      </c>
      <c r="K6" s="7">
        <f>D6/(1+0.02)^G6</f>
        <v/>
      </c>
      <c r="L6" s="7">
        <f>H6-K6</f>
        <v/>
      </c>
      <c r="M6" s="7">
        <f>IF(G6&lt;1,D6/(1+0.05)^G6,D6/(1+0.04)^G6)</f>
        <v/>
      </c>
      <c r="N6" s="7">
        <f>H6-M6</f>
        <v/>
      </c>
      <c r="O6" s="7">
        <f>IF(G6&lt;1,D6/(1+0.02)^G6,D6/(1+0.025)^G6)</f>
        <v/>
      </c>
      <c r="P6" s="7">
        <f>H6-O6</f>
        <v/>
      </c>
      <c r="Q6" s="7">
        <f>IF(G6&lt;1,D6/(1+0.02)^G6,D6/(1+0.04)^G6)</f>
        <v/>
      </c>
      <c r="R6" s="7">
        <f>H6-Q6</f>
        <v/>
      </c>
      <c r="S6" s="7">
        <f>IF(G6&lt;1,D6/(1+0.04)^G6,D6/(1+0.02)^G6)</f>
        <v/>
      </c>
      <c r="T6" s="7">
        <f>H6-S6</f>
        <v/>
      </c>
      <c r="U6" s="8" t="inlineStr"/>
    </row>
    <row r="7">
      <c r="A7" s="2" t="inlineStr">
        <is>
          <t>S010101030000</t>
        </is>
      </c>
      <c r="B7" s="3" t="inlineStr">
        <is>
          <t>1.3.信用卡贷款</t>
        </is>
      </c>
      <c r="C7" s="4" t="inlineStr">
        <is>
          <t>是</t>
        </is>
      </c>
      <c r="D7" s="9" t="n">
        <v>444525501384.64</v>
      </c>
      <c r="E7" s="4" t="inlineStr">
        <is>
          <t>asset</t>
        </is>
      </c>
      <c r="F7" s="4" t="inlineStr">
        <is>
          <t>贷款</t>
        </is>
      </c>
      <c r="G7" s="10" t="n">
        <v>1.5</v>
      </c>
      <c r="H7" s="7">
        <f>D7/(1+0.03)^G7</f>
        <v/>
      </c>
      <c r="I7" s="7">
        <f>D7/(1+0.05)^G7</f>
        <v/>
      </c>
      <c r="J7" s="7">
        <f>H7-I7</f>
        <v/>
      </c>
      <c r="K7" s="7">
        <f>D7/(1+0.02)^G7</f>
        <v/>
      </c>
      <c r="L7" s="7">
        <f>H7-K7</f>
        <v/>
      </c>
      <c r="M7" s="7">
        <f>IF(G7&lt;1,D7/(1+0.05)^G7,D7/(1+0.04)^G7)</f>
        <v/>
      </c>
      <c r="N7" s="7">
        <f>H7-M7</f>
        <v/>
      </c>
      <c r="O7" s="7">
        <f>IF(G7&lt;1,D7/(1+0.02)^G7,D7/(1+0.025)^G7)</f>
        <v/>
      </c>
      <c r="P7" s="7">
        <f>H7-O7</f>
        <v/>
      </c>
      <c r="Q7" s="7">
        <f>IF(G7&lt;1,D7/(1+0.02)^G7,D7/(1+0.04)^G7)</f>
        <v/>
      </c>
      <c r="R7" s="7">
        <f>H7-Q7</f>
        <v/>
      </c>
      <c r="S7" s="7">
        <f>IF(G7&lt;1,D7/(1+0.04)^G7,D7/(1+0.02)^G7)</f>
        <v/>
      </c>
      <c r="T7" s="7">
        <f>H7-S7</f>
        <v/>
      </c>
      <c r="U7" s="8" t="inlineStr"/>
    </row>
    <row r="8">
      <c r="A8" s="2" t="inlineStr">
        <is>
          <t>S010101040000</t>
        </is>
      </c>
      <c r="B8" s="3" t="inlineStr">
        <is>
          <t>1.4.票据贴现</t>
        </is>
      </c>
      <c r="C8" s="4" t="inlineStr">
        <is>
          <t>是</t>
        </is>
      </c>
      <c r="D8" s="9" t="n">
        <v>201340076281.32</v>
      </c>
      <c r="E8" s="4" t="inlineStr">
        <is>
          <t>asset</t>
        </is>
      </c>
      <c r="F8" s="4" t="inlineStr">
        <is>
          <t>贷款</t>
        </is>
      </c>
      <c r="G8" s="10" t="n">
        <v>0.5</v>
      </c>
      <c r="H8" s="7">
        <f>D8/(1+0.03)^G8</f>
        <v/>
      </c>
      <c r="I8" s="7">
        <f>D8/(1+0.05)^G8</f>
        <v/>
      </c>
      <c r="J8" s="7">
        <f>H8-I8</f>
        <v/>
      </c>
      <c r="K8" s="7">
        <f>D8/(1+0.02)^G8</f>
        <v/>
      </c>
      <c r="L8" s="7">
        <f>H8-K8</f>
        <v/>
      </c>
      <c r="M8" s="7">
        <f>IF(G8&lt;1,D8/(1+0.05)^G8,D8/(1+0.04)^G8)</f>
        <v/>
      </c>
      <c r="N8" s="7">
        <f>H8-M8</f>
        <v/>
      </c>
      <c r="O8" s="7">
        <f>IF(G8&lt;1,D8/(1+0.02)^G8,D8/(1+0.025)^G8)</f>
        <v/>
      </c>
      <c r="P8" s="7">
        <f>H8-O8</f>
        <v/>
      </c>
      <c r="Q8" s="7">
        <f>IF(G8&lt;1,D8/(1+0.02)^G8,D8/(1+0.04)^G8)</f>
        <v/>
      </c>
      <c r="R8" s="7">
        <f>H8-Q8</f>
        <v/>
      </c>
      <c r="S8" s="7">
        <f>IF(G8&lt;1,D8/(1+0.04)^G8,D8/(1+0.02)^G8)</f>
        <v/>
      </c>
      <c r="T8" s="7">
        <f>H8-S8</f>
        <v/>
      </c>
      <c r="U8" s="8" t="inlineStr"/>
    </row>
    <row r="9">
      <c r="A9" s="2" t="inlineStr">
        <is>
          <t>S010101050000</t>
        </is>
      </c>
      <c r="B9" s="3" t="inlineStr">
        <is>
          <t>1.5.非银贷款</t>
        </is>
      </c>
      <c r="C9" s="4" t="inlineStr">
        <is>
          <t>是</t>
        </is>
      </c>
      <c r="D9" s="9" t="n">
        <v>348478250000</v>
      </c>
      <c r="E9" s="4" t="inlineStr">
        <is>
          <t>asset</t>
        </is>
      </c>
      <c r="F9" s="4" t="inlineStr">
        <is>
          <t>贷款</t>
        </is>
      </c>
      <c r="G9" s="10" t="n">
        <v>1.5</v>
      </c>
      <c r="H9" s="7">
        <f>D9/(1+0.03)^G9</f>
        <v/>
      </c>
      <c r="I9" s="7">
        <f>D9/(1+0.05)^G9</f>
        <v/>
      </c>
      <c r="J9" s="7">
        <f>H9-I9</f>
        <v/>
      </c>
      <c r="K9" s="7">
        <f>D9/(1+0.02)^G9</f>
        <v/>
      </c>
      <c r="L9" s="7">
        <f>H9-K9</f>
        <v/>
      </c>
      <c r="M9" s="7">
        <f>IF(G9&lt;1,D9/(1+0.05)^G9,D9/(1+0.04)^G9)</f>
        <v/>
      </c>
      <c r="N9" s="7">
        <f>H9-M9</f>
        <v/>
      </c>
      <c r="O9" s="7">
        <f>IF(G9&lt;1,D9/(1+0.02)^G9,D9/(1+0.025)^G9)</f>
        <v/>
      </c>
      <c r="P9" s="7">
        <f>H9-O9</f>
        <v/>
      </c>
      <c r="Q9" s="7">
        <f>IF(G9&lt;1,D9/(1+0.02)^G9,D9/(1+0.04)^G9)</f>
        <v/>
      </c>
      <c r="R9" s="7">
        <f>H9-Q9</f>
        <v/>
      </c>
      <c r="S9" s="7">
        <f>IF(G9&lt;1,D9/(1+0.04)^G9,D9/(1+0.02)^G9)</f>
        <v/>
      </c>
      <c r="T9" s="7">
        <f>H9-S9</f>
        <v/>
      </c>
      <c r="U9" s="8" t="inlineStr"/>
    </row>
    <row r="10">
      <c r="A10" s="2" t="inlineStr">
        <is>
          <t>S010102000000</t>
        </is>
      </c>
      <c r="B10" s="3" t="inlineStr">
        <is>
          <t>2.人民币非信贷类业务</t>
        </is>
      </c>
      <c r="C10" s="4" t="inlineStr">
        <is>
          <t>否</t>
        </is>
      </c>
      <c r="D10" s="9" t="n">
        <v>2613045206589.05</v>
      </c>
      <c r="E10" s="4" t="inlineStr">
        <is>
          <t>汇总</t>
        </is>
      </c>
      <c r="F10" s="6" t="n"/>
      <c r="G10" s="5" t="n"/>
      <c r="H10" s="7">
        <f>D10/(1+0.03)^G10</f>
        <v/>
      </c>
      <c r="I10" s="7">
        <f>D10/(1+0.05)^G10</f>
        <v/>
      </c>
      <c r="J10" s="7">
        <f>H10-I10</f>
        <v/>
      </c>
      <c r="K10" s="7">
        <f>D10/(1+0.02)^G10</f>
        <v/>
      </c>
      <c r="L10" s="7">
        <f>H10-K10</f>
        <v/>
      </c>
      <c r="M10" s="7">
        <f>IF(G10&lt;1,D10/(1+0.05)^G10,D10/(1+0.04)^G10)</f>
        <v/>
      </c>
      <c r="N10" s="7">
        <f>H10-M10</f>
        <v/>
      </c>
      <c r="O10" s="7">
        <f>IF(G10&lt;1,D10/(1+0.02)^G10,D10/(1+0.025)^G10)</f>
        <v/>
      </c>
      <c r="P10" s="7">
        <f>H10-O10</f>
        <v/>
      </c>
      <c r="Q10" s="7">
        <f>IF(G10&lt;1,D10/(1+0.02)^G10,D10/(1+0.04)^G10)</f>
        <v/>
      </c>
      <c r="R10" s="7">
        <f>H10-Q10</f>
        <v/>
      </c>
      <c r="S10" s="7">
        <f>IF(G10&lt;1,D10/(1+0.04)^G10,D10/(1+0.02)^G10)</f>
        <v/>
      </c>
      <c r="T10" s="7">
        <f>H10-S10</f>
        <v/>
      </c>
      <c r="U10" s="8" t="inlineStr">
        <is>
          <t>汇总节点不参与 EVE 计算</t>
        </is>
      </c>
    </row>
    <row r="11">
      <c r="A11" s="2" t="inlineStr">
        <is>
          <t>S010102010000</t>
        </is>
      </c>
      <c r="B11" s="3" t="inlineStr">
        <is>
          <t>2.1.债券投资</t>
        </is>
      </c>
      <c r="C11" s="4" t="inlineStr">
        <is>
          <t>否</t>
        </is>
      </c>
      <c r="D11" s="9" t="n">
        <v>1794400523623.64</v>
      </c>
      <c r="E11" s="4" t="inlineStr">
        <is>
          <t>汇总</t>
        </is>
      </c>
      <c r="F11" s="6" t="n"/>
      <c r="G11" s="5" t="n"/>
      <c r="H11" s="7">
        <f>D11/(1+0.03)^G11</f>
        <v/>
      </c>
      <c r="I11" s="7">
        <f>D11/(1+0.05)^G11</f>
        <v/>
      </c>
      <c r="J11" s="7">
        <f>H11-I11</f>
        <v/>
      </c>
      <c r="K11" s="7">
        <f>D11/(1+0.02)^G11</f>
        <v/>
      </c>
      <c r="L11" s="7">
        <f>H11-K11</f>
        <v/>
      </c>
      <c r="M11" s="7">
        <f>IF(G11&lt;1,D11/(1+0.05)^G11,D11/(1+0.04)^G11)</f>
        <v/>
      </c>
      <c r="N11" s="7">
        <f>H11-M11</f>
        <v/>
      </c>
      <c r="O11" s="7">
        <f>IF(G11&lt;1,D11/(1+0.02)^G11,D11/(1+0.025)^G11)</f>
        <v/>
      </c>
      <c r="P11" s="7">
        <f>H11-O11</f>
        <v/>
      </c>
      <c r="Q11" s="7">
        <f>IF(G11&lt;1,D11/(1+0.02)^G11,D11/(1+0.04)^G11)</f>
        <v/>
      </c>
      <c r="R11" s="7">
        <f>H11-Q11</f>
        <v/>
      </c>
      <c r="S11" s="7">
        <f>IF(G11&lt;1,D11/(1+0.04)^G11,D11/(1+0.02)^G11)</f>
        <v/>
      </c>
      <c r="T11" s="7">
        <f>H11-S11</f>
        <v/>
      </c>
      <c r="U11" s="8" t="inlineStr">
        <is>
          <t>汇总节点不参与 EVE 计算</t>
        </is>
      </c>
    </row>
    <row r="12">
      <c r="A12" s="2" t="inlineStr">
        <is>
          <t>S010102010100</t>
        </is>
      </c>
      <c r="B12" s="3" t="inlineStr">
        <is>
          <t>2.1.1金市自营债券</t>
        </is>
      </c>
      <c r="C12" s="4" t="inlineStr">
        <is>
          <t>否</t>
        </is>
      </c>
      <c r="D12" s="9" t="n">
        <v>1184382566128.63</v>
      </c>
      <c r="E12" s="4" t="inlineStr">
        <is>
          <t>汇总</t>
        </is>
      </c>
      <c r="F12" s="6" t="n"/>
      <c r="G12" s="5" t="n"/>
      <c r="H12" s="7">
        <f>D12/(1+0.03)^G12</f>
        <v/>
      </c>
      <c r="I12" s="7">
        <f>D12/(1+0.05)^G12</f>
        <v/>
      </c>
      <c r="J12" s="7">
        <f>H12-I12</f>
        <v/>
      </c>
      <c r="K12" s="7">
        <f>D12/(1+0.02)^G12</f>
        <v/>
      </c>
      <c r="L12" s="7">
        <f>H12-K12</f>
        <v/>
      </c>
      <c r="M12" s="7">
        <f>IF(G12&lt;1,D12/(1+0.05)^G12,D12/(1+0.04)^G12)</f>
        <v/>
      </c>
      <c r="N12" s="7">
        <f>H12-M12</f>
        <v/>
      </c>
      <c r="O12" s="7">
        <f>IF(G12&lt;1,D12/(1+0.02)^G12,D12/(1+0.025)^G12)</f>
        <v/>
      </c>
      <c r="P12" s="7">
        <f>H12-O12</f>
        <v/>
      </c>
      <c r="Q12" s="7">
        <f>IF(G12&lt;1,D12/(1+0.02)^G12,D12/(1+0.04)^G12)</f>
        <v/>
      </c>
      <c r="R12" s="7">
        <f>H12-Q12</f>
        <v/>
      </c>
      <c r="S12" s="7">
        <f>IF(G12&lt;1,D12/(1+0.04)^G12,D12/(1+0.02)^G12)</f>
        <v/>
      </c>
      <c r="T12" s="7">
        <f>H12-S12</f>
        <v/>
      </c>
      <c r="U12" s="8" t="inlineStr">
        <is>
          <t>汇总节点不参与 EVE 计算</t>
        </is>
      </c>
    </row>
    <row r="13">
      <c r="A13" s="2" t="inlineStr">
        <is>
          <t>S010102010101</t>
        </is>
      </c>
      <c r="B13" s="3" t="inlineStr">
        <is>
          <t>2.1.1.1AC</t>
        </is>
      </c>
      <c r="C13" s="4" t="inlineStr">
        <is>
          <t>是</t>
        </is>
      </c>
      <c r="D13" s="9" t="n">
        <v>543980069724.63</v>
      </c>
      <c r="E13" s="4" t="inlineStr">
        <is>
          <t>asset</t>
        </is>
      </c>
      <c r="F13" s="4" t="inlineStr">
        <is>
          <t>债券</t>
        </is>
      </c>
      <c r="G13" s="10" t="n">
        <v>3.5</v>
      </c>
      <c r="H13" s="7">
        <f>D13/(1+0.03)^G13</f>
        <v/>
      </c>
      <c r="I13" s="7">
        <f>D13/(1+0.05)^G13</f>
        <v/>
      </c>
      <c r="J13" s="7">
        <f>H13-I13</f>
        <v/>
      </c>
      <c r="K13" s="7">
        <f>D13/(1+0.02)^G13</f>
        <v/>
      </c>
      <c r="L13" s="7">
        <f>H13-K13</f>
        <v/>
      </c>
      <c r="M13" s="7">
        <f>IF(G13&lt;1,D13/(1+0.05)^G13,D13/(1+0.04)^G13)</f>
        <v/>
      </c>
      <c r="N13" s="7">
        <f>H13-M13</f>
        <v/>
      </c>
      <c r="O13" s="7">
        <f>IF(G13&lt;1,D13/(1+0.02)^G13,D13/(1+0.025)^G13)</f>
        <v/>
      </c>
      <c r="P13" s="7">
        <f>H13-O13</f>
        <v/>
      </c>
      <c r="Q13" s="7">
        <f>IF(G13&lt;1,D13/(1+0.02)^G13,D13/(1+0.04)^G13)</f>
        <v/>
      </c>
      <c r="R13" s="7">
        <f>H13-Q13</f>
        <v/>
      </c>
      <c r="S13" s="7">
        <f>IF(G13&lt;1,D13/(1+0.04)^G13,D13/(1+0.02)^G13)</f>
        <v/>
      </c>
      <c r="T13" s="7">
        <f>H13-S13</f>
        <v/>
      </c>
      <c r="U13" s="8" t="inlineStr"/>
    </row>
    <row r="14">
      <c r="A14" s="2" t="inlineStr">
        <is>
          <t>S010102010102</t>
        </is>
      </c>
      <c r="B14" s="3" t="inlineStr">
        <is>
          <t>2.1.1.2FVOCI</t>
        </is>
      </c>
      <c r="C14" s="4" t="inlineStr">
        <is>
          <t>是</t>
        </is>
      </c>
      <c r="D14" s="9" t="n">
        <v>640402496404</v>
      </c>
      <c r="E14" s="4" t="inlineStr">
        <is>
          <t>asset</t>
        </is>
      </c>
      <c r="F14" s="4" t="inlineStr">
        <is>
          <t>债券</t>
        </is>
      </c>
      <c r="G14" s="10" t="n">
        <v>4</v>
      </c>
      <c r="H14" s="7">
        <f>D14/(1+0.03)^G14</f>
        <v/>
      </c>
      <c r="I14" s="7">
        <f>D14/(1+0.05)^G14</f>
        <v/>
      </c>
      <c r="J14" s="7">
        <f>H14-I14</f>
        <v/>
      </c>
      <c r="K14" s="7">
        <f>D14/(1+0.02)^G14</f>
        <v/>
      </c>
      <c r="L14" s="7">
        <f>H14-K14</f>
        <v/>
      </c>
      <c r="M14" s="7">
        <f>IF(G14&lt;1,D14/(1+0.05)^G14,D14/(1+0.04)^G14)</f>
        <v/>
      </c>
      <c r="N14" s="7">
        <f>H14-M14</f>
        <v/>
      </c>
      <c r="O14" s="7">
        <f>IF(G14&lt;1,D14/(1+0.02)^G14,D14/(1+0.025)^G14)</f>
        <v/>
      </c>
      <c r="P14" s="7">
        <f>H14-O14</f>
        <v/>
      </c>
      <c r="Q14" s="7">
        <f>IF(G14&lt;1,D14/(1+0.02)^G14,D14/(1+0.04)^G14)</f>
        <v/>
      </c>
      <c r="R14" s="7">
        <f>H14-Q14</f>
        <v/>
      </c>
      <c r="S14" s="7">
        <f>IF(G14&lt;1,D14/(1+0.04)^G14,D14/(1+0.02)^G14)</f>
        <v/>
      </c>
      <c r="T14" s="7">
        <f>H14-S14</f>
        <v/>
      </c>
      <c r="U14" s="8" t="inlineStr"/>
    </row>
    <row r="15">
      <c r="A15" s="2" t="inlineStr">
        <is>
          <t>S010102010103</t>
        </is>
      </c>
      <c r="B15" s="3" t="inlineStr">
        <is>
          <t>2.1.1.3FVTPL</t>
        </is>
      </c>
      <c r="C15" s="4" t="inlineStr">
        <is>
          <t>是</t>
        </is>
      </c>
      <c r="D15" s="9" t="n">
        <v>50000000000</v>
      </c>
      <c r="E15" s="4" t="inlineStr">
        <is>
          <t>asset</t>
        </is>
      </c>
      <c r="F15" s="4" t="inlineStr">
        <is>
          <t>债券</t>
        </is>
      </c>
      <c r="G15" s="10" t="n">
        <v>3</v>
      </c>
      <c r="H15" s="7">
        <f>D15/(1+0.03)^G15</f>
        <v/>
      </c>
      <c r="I15" s="7">
        <f>D15/(1+0.05)^G15</f>
        <v/>
      </c>
      <c r="J15" s="7">
        <f>H15-I15</f>
        <v/>
      </c>
      <c r="K15" s="7">
        <f>D15/(1+0.02)^G15</f>
        <v/>
      </c>
      <c r="L15" s="7">
        <f>H15-K15</f>
        <v/>
      </c>
      <c r="M15" s="7">
        <f>IF(G15&lt;1,D15/(1+0.05)^G15,D15/(1+0.04)^G15)</f>
        <v/>
      </c>
      <c r="N15" s="7">
        <f>H15-M15</f>
        <v/>
      </c>
      <c r="O15" s="7">
        <f>IF(G15&lt;1,D15/(1+0.02)^G15,D15/(1+0.025)^G15)</f>
        <v/>
      </c>
      <c r="P15" s="7">
        <f>H15-O15</f>
        <v/>
      </c>
      <c r="Q15" s="7">
        <f>IF(G15&lt;1,D15/(1+0.02)^G15,D15/(1+0.04)^G15)</f>
        <v/>
      </c>
      <c r="R15" s="7">
        <f>H15-Q15</f>
        <v/>
      </c>
      <c r="S15" s="7">
        <f>IF(G15&lt;1,D15/(1+0.04)^G15,D15/(1+0.02)^G15)</f>
        <v/>
      </c>
      <c r="T15" s="7">
        <f>H15-S15</f>
        <v/>
      </c>
      <c r="U15" s="8" t="inlineStr"/>
    </row>
    <row r="16">
      <c r="A16" s="2" t="inlineStr">
        <is>
          <t>S010102010200</t>
        </is>
      </c>
      <c r="B16" s="3" t="inlineStr">
        <is>
          <t>2.1.2司库债券</t>
        </is>
      </c>
      <c r="C16" s="4" t="inlineStr">
        <is>
          <t>否</t>
        </is>
      </c>
      <c r="D16" s="9" t="n">
        <v>610017957495.01</v>
      </c>
      <c r="E16" s="4" t="inlineStr">
        <is>
          <t>汇总</t>
        </is>
      </c>
      <c r="F16" s="6" t="n"/>
      <c r="G16" s="5" t="n"/>
      <c r="H16" s="7">
        <f>D16/(1+0.03)^G16</f>
        <v/>
      </c>
      <c r="I16" s="7">
        <f>D16/(1+0.05)^G16</f>
        <v/>
      </c>
      <c r="J16" s="7">
        <f>H16-I16</f>
        <v/>
      </c>
      <c r="K16" s="7">
        <f>D16/(1+0.02)^G16</f>
        <v/>
      </c>
      <c r="L16" s="7">
        <f>H16-K16</f>
        <v/>
      </c>
      <c r="M16" s="7">
        <f>IF(G16&lt;1,D16/(1+0.05)^G16,D16/(1+0.04)^G16)</f>
        <v/>
      </c>
      <c r="N16" s="7">
        <f>H16-M16</f>
        <v/>
      </c>
      <c r="O16" s="7">
        <f>IF(G16&lt;1,D16/(1+0.02)^G16,D16/(1+0.025)^G16)</f>
        <v/>
      </c>
      <c r="P16" s="7">
        <f>H16-O16</f>
        <v/>
      </c>
      <c r="Q16" s="7">
        <f>IF(G16&lt;1,D16/(1+0.02)^G16,D16/(1+0.04)^G16)</f>
        <v/>
      </c>
      <c r="R16" s="7">
        <f>H16-Q16</f>
        <v/>
      </c>
      <c r="S16" s="7">
        <f>IF(G16&lt;1,D16/(1+0.04)^G16,D16/(1+0.02)^G16)</f>
        <v/>
      </c>
      <c r="T16" s="7">
        <f>H16-S16</f>
        <v/>
      </c>
      <c r="U16" s="8" t="inlineStr">
        <is>
          <t>汇总节点不参与 EVE 计算</t>
        </is>
      </c>
    </row>
    <row r="17">
      <c r="A17" s="2" t="inlineStr">
        <is>
          <t>S010102010201</t>
        </is>
      </c>
      <c r="B17" s="3" t="inlineStr">
        <is>
          <t>2.1.2.1AC</t>
        </is>
      </c>
      <c r="C17" s="4" t="inlineStr">
        <is>
          <t>是</t>
        </is>
      </c>
      <c r="D17" s="9" t="n">
        <v>566351367717.5</v>
      </c>
      <c r="E17" s="4" t="inlineStr">
        <is>
          <t>asset</t>
        </is>
      </c>
      <c r="F17" s="4" t="inlineStr">
        <is>
          <t>债券</t>
        </is>
      </c>
      <c r="G17" s="10" t="n">
        <v>3.5</v>
      </c>
      <c r="H17" s="7">
        <f>D17/(1+0.03)^G17</f>
        <v/>
      </c>
      <c r="I17" s="7">
        <f>D17/(1+0.05)^G17</f>
        <v/>
      </c>
      <c r="J17" s="7">
        <f>H17-I17</f>
        <v/>
      </c>
      <c r="K17" s="7">
        <f>D17/(1+0.02)^G17</f>
        <v/>
      </c>
      <c r="L17" s="7">
        <f>H17-K17</f>
        <v/>
      </c>
      <c r="M17" s="7">
        <f>IF(G17&lt;1,D17/(1+0.05)^G17,D17/(1+0.04)^G17)</f>
        <v/>
      </c>
      <c r="N17" s="7">
        <f>H17-M17</f>
        <v/>
      </c>
      <c r="O17" s="7">
        <f>IF(G17&lt;1,D17/(1+0.02)^G17,D17/(1+0.025)^G17)</f>
        <v/>
      </c>
      <c r="P17" s="7">
        <f>H17-O17</f>
        <v/>
      </c>
      <c r="Q17" s="7">
        <f>IF(G17&lt;1,D17/(1+0.02)^G17,D17/(1+0.04)^G17)</f>
        <v/>
      </c>
      <c r="R17" s="7">
        <f>H17-Q17</f>
        <v/>
      </c>
      <c r="S17" s="7">
        <f>IF(G17&lt;1,D17/(1+0.04)^G17,D17/(1+0.02)^G17)</f>
        <v/>
      </c>
      <c r="T17" s="7">
        <f>H17-S17</f>
        <v/>
      </c>
      <c r="U17" s="8" t="inlineStr"/>
    </row>
    <row r="18">
      <c r="A18" s="2" t="inlineStr">
        <is>
          <t>S010102010202</t>
        </is>
      </c>
      <c r="B18" s="3" t="inlineStr">
        <is>
          <t>2.1.2.2FVOCI</t>
        </is>
      </c>
      <c r="C18" s="4" t="inlineStr">
        <is>
          <t>是</t>
        </is>
      </c>
      <c r="D18" s="9" t="n">
        <v>43666589777.51</v>
      </c>
      <c r="E18" s="4" t="inlineStr">
        <is>
          <t>asset</t>
        </is>
      </c>
      <c r="F18" s="4" t="inlineStr">
        <is>
          <t>债券</t>
        </is>
      </c>
      <c r="G18" s="10" t="n">
        <v>4</v>
      </c>
      <c r="H18" s="7">
        <f>D18/(1+0.03)^G18</f>
        <v/>
      </c>
      <c r="I18" s="7">
        <f>D18/(1+0.05)^G18</f>
        <v/>
      </c>
      <c r="J18" s="7">
        <f>H18-I18</f>
        <v/>
      </c>
      <c r="K18" s="7">
        <f>D18/(1+0.02)^G18</f>
        <v/>
      </c>
      <c r="L18" s="7">
        <f>H18-K18</f>
        <v/>
      </c>
      <c r="M18" s="7">
        <f>IF(G18&lt;1,D18/(1+0.05)^G18,D18/(1+0.04)^G18)</f>
        <v/>
      </c>
      <c r="N18" s="7">
        <f>H18-M18</f>
        <v/>
      </c>
      <c r="O18" s="7">
        <f>IF(G18&lt;1,D18/(1+0.02)^G18,D18/(1+0.025)^G18)</f>
        <v/>
      </c>
      <c r="P18" s="7">
        <f>H18-O18</f>
        <v/>
      </c>
      <c r="Q18" s="7">
        <f>IF(G18&lt;1,D18/(1+0.02)^G18,D18/(1+0.04)^G18)</f>
        <v/>
      </c>
      <c r="R18" s="7">
        <f>H18-Q18</f>
        <v/>
      </c>
      <c r="S18" s="7">
        <f>IF(G18&lt;1,D18/(1+0.04)^G18,D18/(1+0.02)^G18)</f>
        <v/>
      </c>
      <c r="T18" s="7">
        <f>H18-S18</f>
        <v/>
      </c>
      <c r="U18" s="8" t="inlineStr"/>
    </row>
    <row r="19">
      <c r="A19" s="2" t="inlineStr">
        <is>
          <t>S010102010203</t>
        </is>
      </c>
      <c r="B19" s="3" t="inlineStr">
        <is>
          <t>2.1.2.3FVTPL</t>
        </is>
      </c>
      <c r="C19" s="4" t="inlineStr">
        <is>
          <t>是</t>
        </is>
      </c>
      <c r="D19" s="9" t="n">
        <v>30000000000</v>
      </c>
      <c r="E19" s="4" t="inlineStr">
        <is>
          <t>asset</t>
        </is>
      </c>
      <c r="F19" s="4" t="inlineStr">
        <is>
          <t>债券</t>
        </is>
      </c>
      <c r="G19" s="10" t="n">
        <v>3</v>
      </c>
      <c r="H19" s="7">
        <f>D19/(1+0.03)^G19</f>
        <v/>
      </c>
      <c r="I19" s="7">
        <f>D19/(1+0.05)^G19</f>
        <v/>
      </c>
      <c r="J19" s="7">
        <f>H19-I19</f>
        <v/>
      </c>
      <c r="K19" s="7">
        <f>D19/(1+0.02)^G19</f>
        <v/>
      </c>
      <c r="L19" s="7">
        <f>H19-K19</f>
        <v/>
      </c>
      <c r="M19" s="7">
        <f>IF(G19&lt;1,D19/(1+0.05)^G19,D19/(1+0.04)^G19)</f>
        <v/>
      </c>
      <c r="N19" s="7">
        <f>H19-M19</f>
        <v/>
      </c>
      <c r="O19" s="7">
        <f>IF(G19&lt;1,D19/(1+0.02)^G19,D19/(1+0.025)^G19)</f>
        <v/>
      </c>
      <c r="P19" s="7">
        <f>H19-O19</f>
        <v/>
      </c>
      <c r="Q19" s="7">
        <f>IF(G19&lt;1,D19/(1+0.02)^G19,D19/(1+0.04)^G19)</f>
        <v/>
      </c>
      <c r="R19" s="7">
        <f>H19-Q19</f>
        <v/>
      </c>
      <c r="S19" s="7">
        <f>IF(G19&lt;1,D19/(1+0.04)^G19,D19/(1+0.02)^G19)</f>
        <v/>
      </c>
      <c r="T19" s="7">
        <f>H19-S19</f>
        <v/>
      </c>
      <c r="U19" s="8" t="inlineStr"/>
    </row>
    <row r="20">
      <c r="A20" s="2" t="inlineStr">
        <is>
          <t>S010102020000</t>
        </is>
      </c>
      <c r="B20" s="3" t="inlineStr">
        <is>
          <t>2.2.结构化融资</t>
        </is>
      </c>
      <c r="C20" s="4" t="inlineStr">
        <is>
          <t>是</t>
        </is>
      </c>
      <c r="D20" s="9" t="n">
        <v>205172333337.52</v>
      </c>
      <c r="E20" s="4" t="inlineStr">
        <is>
          <t>asset</t>
        </is>
      </c>
      <c r="F20" s="4" t="inlineStr">
        <is>
          <t>结构化</t>
        </is>
      </c>
      <c r="G20" s="10" t="n">
        <v>3</v>
      </c>
      <c r="H20" s="7">
        <f>D20/(1+0.03)^G20</f>
        <v/>
      </c>
      <c r="I20" s="7">
        <f>D20/(1+0.05)^G20</f>
        <v/>
      </c>
      <c r="J20" s="7">
        <f>H20-I20</f>
        <v/>
      </c>
      <c r="K20" s="7">
        <f>D20/(1+0.02)^G20</f>
        <v/>
      </c>
      <c r="L20" s="7">
        <f>H20-K20</f>
        <v/>
      </c>
      <c r="M20" s="7">
        <f>IF(G20&lt;1,D20/(1+0.05)^G20,D20/(1+0.04)^G20)</f>
        <v/>
      </c>
      <c r="N20" s="7">
        <f>H20-M20</f>
        <v/>
      </c>
      <c r="O20" s="7">
        <f>IF(G20&lt;1,D20/(1+0.02)^G20,D20/(1+0.025)^G20)</f>
        <v/>
      </c>
      <c r="P20" s="7">
        <f>H20-O20</f>
        <v/>
      </c>
      <c r="Q20" s="7">
        <f>IF(G20&lt;1,D20/(1+0.02)^G20,D20/(1+0.04)^G20)</f>
        <v/>
      </c>
      <c r="R20" s="7">
        <f>H20-Q20</f>
        <v/>
      </c>
      <c r="S20" s="7">
        <f>IF(G20&lt;1,D20/(1+0.04)^G20,D20/(1+0.02)^G20)</f>
        <v/>
      </c>
      <c r="T20" s="7">
        <f>H20-S20</f>
        <v/>
      </c>
      <c r="U20" s="8" t="inlineStr"/>
    </row>
    <row r="21">
      <c r="A21" s="2" t="inlineStr">
        <is>
          <t>S010102030000</t>
        </is>
      </c>
      <c r="B21" s="3" t="inlineStr">
        <is>
          <t>2.3.同业资产（不含拆放非银）</t>
        </is>
      </c>
      <c r="C21" s="4" t="inlineStr">
        <is>
          <t>是</t>
        </is>
      </c>
      <c r="D21" s="9" t="n">
        <v>248117663093.33</v>
      </c>
      <c r="E21" s="4" t="inlineStr">
        <is>
          <t>asset</t>
        </is>
      </c>
      <c r="F21" s="4" t="inlineStr">
        <is>
          <t>同业</t>
        </is>
      </c>
      <c r="G21" s="10" t="n">
        <v>1</v>
      </c>
      <c r="H21" s="7">
        <f>D21/(1+0.03)^G21</f>
        <v/>
      </c>
      <c r="I21" s="7">
        <f>D21/(1+0.05)^G21</f>
        <v/>
      </c>
      <c r="J21" s="7">
        <f>H21-I21</f>
        <v/>
      </c>
      <c r="K21" s="7">
        <f>D21/(1+0.02)^G21</f>
        <v/>
      </c>
      <c r="L21" s="7">
        <f>H21-K21</f>
        <v/>
      </c>
      <c r="M21" s="7">
        <f>IF(G21&lt;1,D21/(1+0.05)^G21,D21/(1+0.04)^G21)</f>
        <v/>
      </c>
      <c r="N21" s="7">
        <f>H21-M21</f>
        <v/>
      </c>
      <c r="O21" s="7">
        <f>IF(G21&lt;1,D21/(1+0.02)^G21,D21/(1+0.025)^G21)</f>
        <v/>
      </c>
      <c r="P21" s="7">
        <f>H21-O21</f>
        <v/>
      </c>
      <c r="Q21" s="7">
        <f>IF(G21&lt;1,D21/(1+0.02)^G21,D21/(1+0.04)^G21)</f>
        <v/>
      </c>
      <c r="R21" s="7">
        <f>H21-Q21</f>
        <v/>
      </c>
      <c r="S21" s="7">
        <f>IF(G21&lt;1,D21/(1+0.04)^G21,D21/(1+0.02)^G21)</f>
        <v/>
      </c>
      <c r="T21" s="7">
        <f>H21-S21</f>
        <v/>
      </c>
      <c r="U21" s="8" t="inlineStr"/>
    </row>
    <row r="22">
      <c r="A22" s="2" t="inlineStr">
        <is>
          <t>S010102040000</t>
        </is>
      </c>
      <c r="B22" s="3" t="inlineStr">
        <is>
          <t>2.4.存款准备金</t>
        </is>
      </c>
      <c r="C22" s="4" t="inlineStr">
        <is>
          <t>是</t>
        </is>
      </c>
      <c r="D22" s="9" t="n">
        <v>365354686534.56</v>
      </c>
      <c r="E22" s="4" t="inlineStr">
        <is>
          <t>asset</t>
        </is>
      </c>
      <c r="F22" s="4" t="inlineStr">
        <is>
          <t>利率</t>
        </is>
      </c>
      <c r="G22" s="10" t="n">
        <v>0</v>
      </c>
      <c r="H22" s="7">
        <f>D22/(1+0.03)^G22</f>
        <v/>
      </c>
      <c r="I22" s="7">
        <f>D22/(1+0.05)^G22</f>
        <v/>
      </c>
      <c r="J22" s="7">
        <f>H22-I22</f>
        <v/>
      </c>
      <c r="K22" s="7">
        <f>D22/(1+0.02)^G22</f>
        <v/>
      </c>
      <c r="L22" s="7">
        <f>H22-K22</f>
        <v/>
      </c>
      <c r="M22" s="7">
        <f>IF(G22&lt;1,D22/(1+0.05)^G22,D22/(1+0.04)^G22)</f>
        <v/>
      </c>
      <c r="N22" s="7">
        <f>H22-M22</f>
        <v/>
      </c>
      <c r="O22" s="7">
        <f>IF(G22&lt;1,D22/(1+0.02)^G22,D22/(1+0.025)^G22)</f>
        <v/>
      </c>
      <c r="P22" s="7">
        <f>H22-O22</f>
        <v/>
      </c>
      <c r="Q22" s="7">
        <f>IF(G22&lt;1,D22/(1+0.02)^G22,D22/(1+0.04)^G22)</f>
        <v/>
      </c>
      <c r="R22" s="7">
        <f>H22-Q22</f>
        <v/>
      </c>
      <c r="S22" s="7">
        <f>IF(G22&lt;1,D22/(1+0.04)^G22,D22/(1+0.02)^G22)</f>
        <v/>
      </c>
      <c r="T22" s="7">
        <f>H22-S22</f>
        <v/>
      </c>
      <c r="U22" s="8" t="inlineStr"/>
    </row>
    <row r="23">
      <c r="A23" s="2" t="inlineStr">
        <is>
          <t>S010103000000</t>
        </is>
      </c>
      <c r="B23" s="3" t="inlineStr">
        <is>
          <t>3.人民币非生息资产</t>
        </is>
      </c>
      <c r="C23" s="4" t="inlineStr">
        <is>
          <t>否</t>
        </is>
      </c>
      <c r="D23" s="9" t="n">
        <v>867778998074.61</v>
      </c>
      <c r="E23" s="4" t="inlineStr">
        <is>
          <t>汇总</t>
        </is>
      </c>
      <c r="F23" s="6" t="n"/>
      <c r="G23" s="5" t="n"/>
      <c r="H23" s="7">
        <f>D23/(1+0.03)^G23</f>
        <v/>
      </c>
      <c r="I23" s="7">
        <f>D23/(1+0.05)^G23</f>
        <v/>
      </c>
      <c r="J23" s="7">
        <f>H23-I23</f>
        <v/>
      </c>
      <c r="K23" s="7">
        <f>D23/(1+0.02)^G23</f>
        <v/>
      </c>
      <c r="L23" s="7">
        <f>H23-K23</f>
        <v/>
      </c>
      <c r="M23" s="7">
        <f>IF(G23&lt;1,D23/(1+0.05)^G23,D23/(1+0.04)^G23)</f>
        <v/>
      </c>
      <c r="N23" s="7">
        <f>H23-M23</f>
        <v/>
      </c>
      <c r="O23" s="7">
        <f>IF(G23&lt;1,D23/(1+0.02)^G23,D23/(1+0.025)^G23)</f>
        <v/>
      </c>
      <c r="P23" s="7">
        <f>H23-O23</f>
        <v/>
      </c>
      <c r="Q23" s="7">
        <f>IF(G23&lt;1,D23/(1+0.02)^G23,D23/(1+0.04)^G23)</f>
        <v/>
      </c>
      <c r="R23" s="7">
        <f>H23-Q23</f>
        <v/>
      </c>
      <c r="S23" s="7">
        <f>IF(G23&lt;1,D23/(1+0.04)^G23,D23/(1+0.02)^G23)</f>
        <v/>
      </c>
      <c r="T23" s="7">
        <f>H23-S23</f>
        <v/>
      </c>
      <c r="U23" s="8" t="inlineStr">
        <is>
          <t>汇总节点不参与 EVE 计算</t>
        </is>
      </c>
    </row>
    <row r="24">
      <c r="A24" s="2" t="inlineStr">
        <is>
          <t>S010103010000</t>
        </is>
      </c>
      <c r="B24" s="3" t="inlineStr">
        <is>
          <t>3.1.FVTPL类资产</t>
        </is>
      </c>
      <c r="C24" s="4" t="inlineStr">
        <is>
          <t>是</t>
        </is>
      </c>
      <c r="D24" s="9" t="n">
        <v>640262452968.54</v>
      </c>
      <c r="E24" s="4" t="inlineStr">
        <is>
          <t>asset</t>
        </is>
      </c>
      <c r="F24" s="4" t="inlineStr">
        <is>
          <t>FVTPL</t>
        </is>
      </c>
      <c r="G24" s="10" t="n">
        <v>2</v>
      </c>
      <c r="H24" s="7">
        <f>D24/(1+0.03)^G24</f>
        <v/>
      </c>
      <c r="I24" s="7">
        <f>D24/(1+0.05)^G24</f>
        <v/>
      </c>
      <c r="J24" s="7">
        <f>H24-I24</f>
        <v/>
      </c>
      <c r="K24" s="7">
        <f>D24/(1+0.02)^G24</f>
        <v/>
      </c>
      <c r="L24" s="7">
        <f>H24-K24</f>
        <v/>
      </c>
      <c r="M24" s="7">
        <f>IF(G24&lt;1,D24/(1+0.05)^G24,D24/(1+0.04)^G24)</f>
        <v/>
      </c>
      <c r="N24" s="7">
        <f>H24-M24</f>
        <v/>
      </c>
      <c r="O24" s="7">
        <f>IF(G24&lt;1,D24/(1+0.02)^G24,D24/(1+0.025)^G24)</f>
        <v/>
      </c>
      <c r="P24" s="7">
        <f>H24-O24</f>
        <v/>
      </c>
      <c r="Q24" s="7">
        <f>IF(G24&lt;1,D24/(1+0.02)^G24,D24/(1+0.04)^G24)</f>
        <v/>
      </c>
      <c r="R24" s="7">
        <f>H24-Q24</f>
        <v/>
      </c>
      <c r="S24" s="7">
        <f>IF(G24&lt;1,D24/(1+0.04)^G24,D24/(1+0.02)^G24)</f>
        <v/>
      </c>
      <c r="T24" s="7">
        <f>H24-S24</f>
        <v/>
      </c>
      <c r="U24" s="8" t="inlineStr"/>
    </row>
    <row r="25">
      <c r="A25" s="2" t="inlineStr">
        <is>
          <t>S010103020000</t>
        </is>
      </c>
      <c r="B25" s="3" t="inlineStr">
        <is>
          <t>3.2.其他非生息资产</t>
        </is>
      </c>
      <c r="C25" s="4" t="inlineStr">
        <is>
          <t>否</t>
        </is>
      </c>
      <c r="D25" s="9" t="n">
        <v>227516545106.07</v>
      </c>
      <c r="E25" s="4" t="inlineStr">
        <is>
          <t>汇总</t>
        </is>
      </c>
      <c r="F25" s="6" t="n"/>
      <c r="G25" s="5" t="n"/>
      <c r="H25" s="7">
        <f>D25/(1+0.03)^G25</f>
        <v/>
      </c>
      <c r="I25" s="7">
        <f>D25/(1+0.05)^G25</f>
        <v/>
      </c>
      <c r="J25" s="7">
        <f>H25-I25</f>
        <v/>
      </c>
      <c r="K25" s="7">
        <f>D25/(1+0.02)^G25</f>
        <v/>
      </c>
      <c r="L25" s="7">
        <f>H25-K25</f>
        <v/>
      </c>
      <c r="M25" s="7">
        <f>IF(G25&lt;1,D25/(1+0.05)^G25,D25/(1+0.04)^G25)</f>
        <v/>
      </c>
      <c r="N25" s="7">
        <f>H25-M25</f>
        <v/>
      </c>
      <c r="O25" s="7">
        <f>IF(G25&lt;1,D25/(1+0.02)^G25,D25/(1+0.025)^G25)</f>
        <v/>
      </c>
      <c r="P25" s="7">
        <f>H25-O25</f>
        <v/>
      </c>
      <c r="Q25" s="7">
        <f>IF(G25&lt;1,D25/(1+0.02)^G25,D25/(1+0.04)^G25)</f>
        <v/>
      </c>
      <c r="R25" s="7">
        <f>H25-Q25</f>
        <v/>
      </c>
      <c r="S25" s="7">
        <f>IF(G25&lt;1,D25/(1+0.04)^G25,D25/(1+0.02)^G25)</f>
        <v/>
      </c>
      <c r="T25" s="7">
        <f>H25-S25</f>
        <v/>
      </c>
      <c r="U25" s="8" t="inlineStr">
        <is>
          <t>汇总节点不参与 EVE 计算</t>
        </is>
      </c>
    </row>
    <row r="26">
      <c r="A26" s="2" t="inlineStr">
        <is>
          <t>S010103020100</t>
        </is>
      </c>
      <c r="B26" s="3" t="inlineStr">
        <is>
          <t>3.2.1. 其中：现金</t>
        </is>
      </c>
      <c r="C26" s="4" t="inlineStr">
        <is>
          <t>是</t>
        </is>
      </c>
      <c r="D26" s="9" t="n">
        <v>127516545106</v>
      </c>
      <c r="E26" s="4" t="inlineStr">
        <is>
          <t>asset</t>
        </is>
      </c>
      <c r="F26" s="4" t="inlineStr">
        <is>
          <t>现金</t>
        </is>
      </c>
      <c r="G26" s="10" t="n">
        <v>0</v>
      </c>
      <c r="H26" s="7">
        <f>D26/(1+0.03)^G26</f>
        <v/>
      </c>
      <c r="I26" s="7">
        <f>D26/(1+0.05)^G26</f>
        <v/>
      </c>
      <c r="J26" s="7">
        <f>H26-I26</f>
        <v/>
      </c>
      <c r="K26" s="7">
        <f>D26/(1+0.02)^G26</f>
        <v/>
      </c>
      <c r="L26" s="7">
        <f>H26-K26</f>
        <v/>
      </c>
      <c r="M26" s="7">
        <f>IF(G26&lt;1,D26/(1+0.05)^G26,D26/(1+0.04)^G26)</f>
        <v/>
      </c>
      <c r="N26" s="7">
        <f>H26-M26</f>
        <v/>
      </c>
      <c r="O26" s="7">
        <f>IF(G26&lt;1,D26/(1+0.02)^G26,D26/(1+0.025)^G26)</f>
        <v/>
      </c>
      <c r="P26" s="7">
        <f>H26-O26</f>
        <v/>
      </c>
      <c r="Q26" s="7">
        <f>IF(G26&lt;1,D26/(1+0.02)^G26,D26/(1+0.04)^G26)</f>
        <v/>
      </c>
      <c r="R26" s="7">
        <f>H26-Q26</f>
        <v/>
      </c>
      <c r="S26" s="7">
        <f>IF(G26&lt;1,D26/(1+0.04)^G26,D26/(1+0.02)^G26)</f>
        <v/>
      </c>
      <c r="T26" s="7">
        <f>H26-S26</f>
        <v/>
      </c>
      <c r="U26" s="8" t="inlineStr"/>
    </row>
    <row r="27">
      <c r="A27" s="2" t="inlineStr">
        <is>
          <t>S010103020200</t>
        </is>
      </c>
      <c r="B27" s="3" t="inlineStr">
        <is>
          <t>3.2.2. 其中：其它</t>
        </is>
      </c>
      <c r="C27" s="4" t="inlineStr">
        <is>
          <t>是</t>
        </is>
      </c>
      <c r="D27" s="9" t="n">
        <v>100000000000</v>
      </c>
      <c r="E27" s="4" t="inlineStr">
        <is>
          <t>asset</t>
        </is>
      </c>
      <c r="F27" s="4" t="inlineStr">
        <is>
          <t>无息</t>
        </is>
      </c>
      <c r="G27" s="10" t="n">
        <v>0</v>
      </c>
      <c r="H27" s="7">
        <f>D27/(1+0.03)^G27</f>
        <v/>
      </c>
      <c r="I27" s="7">
        <f>D27/(1+0.05)^G27</f>
        <v/>
      </c>
      <c r="J27" s="7">
        <f>H27-I27</f>
        <v/>
      </c>
      <c r="K27" s="7">
        <f>D27/(1+0.02)^G27</f>
        <v/>
      </c>
      <c r="L27" s="7">
        <f>H27-K27</f>
        <v/>
      </c>
      <c r="M27" s="7">
        <f>IF(G27&lt;1,D27/(1+0.05)^G27,D27/(1+0.04)^G27)</f>
        <v/>
      </c>
      <c r="N27" s="7">
        <f>H27-M27</f>
        <v/>
      </c>
      <c r="O27" s="7">
        <f>IF(G27&lt;1,D27/(1+0.02)^G27,D27/(1+0.025)^G27)</f>
        <v/>
      </c>
      <c r="P27" s="7">
        <f>H27-O27</f>
        <v/>
      </c>
      <c r="Q27" s="7">
        <f>IF(G27&lt;1,D27/(1+0.02)^G27,D27/(1+0.04)^G27)</f>
        <v/>
      </c>
      <c r="R27" s="7">
        <f>H27-Q27</f>
        <v/>
      </c>
      <c r="S27" s="7">
        <f>IF(G27&lt;1,D27/(1+0.04)^G27,D27/(1+0.02)^G27)</f>
        <v/>
      </c>
      <c r="T27" s="7">
        <f>H27-S27</f>
        <v/>
      </c>
      <c r="U27" s="8" t="inlineStr"/>
    </row>
    <row r="28">
      <c r="A28" s="2" t="inlineStr">
        <is>
          <t>S010200000000</t>
        </is>
      </c>
      <c r="B28" s="3" t="inlineStr">
        <is>
          <t>（二）外币小计（美元）</t>
        </is>
      </c>
      <c r="C28" s="4" t="inlineStr">
        <is>
          <t>否</t>
        </is>
      </c>
      <c r="D28" s="5" t="n"/>
      <c r="E28" s="4" t="inlineStr">
        <is>
          <t>汇总</t>
        </is>
      </c>
      <c r="F28" s="6" t="n"/>
      <c r="G28" s="5" t="n"/>
      <c r="H28" s="7">
        <f>D28/(1+0.03)^G28</f>
        <v/>
      </c>
      <c r="I28" s="7">
        <f>D28/(1+0.05)^G28</f>
        <v/>
      </c>
      <c r="J28" s="7">
        <f>H28-I28</f>
        <v/>
      </c>
      <c r="K28" s="7">
        <f>D28/(1+0.02)^G28</f>
        <v/>
      </c>
      <c r="L28" s="7">
        <f>H28-K28</f>
        <v/>
      </c>
      <c r="M28" s="7">
        <f>IF(G28&lt;1,D28/(1+0.05)^G28,D28/(1+0.04)^G28)</f>
        <v/>
      </c>
      <c r="N28" s="7">
        <f>H28-M28</f>
        <v/>
      </c>
      <c r="O28" s="7">
        <f>IF(G28&lt;1,D28/(1+0.02)^G28,D28/(1+0.025)^G28)</f>
        <v/>
      </c>
      <c r="P28" s="7">
        <f>H28-O28</f>
        <v/>
      </c>
      <c r="Q28" s="7">
        <f>IF(G28&lt;1,D28/(1+0.02)^G28,D28/(1+0.04)^G28)</f>
        <v/>
      </c>
      <c r="R28" s="7">
        <f>H28-Q28</f>
        <v/>
      </c>
      <c r="S28" s="7">
        <f>IF(G28&lt;1,D28/(1+0.04)^G28,D28/(1+0.02)^G28)</f>
        <v/>
      </c>
      <c r="T28" s="7">
        <f>H28-S28</f>
        <v/>
      </c>
      <c r="U28" s="8" t="inlineStr">
        <is>
          <t>汇总节点不参与 EVE 计算</t>
        </is>
      </c>
    </row>
    <row r="29">
      <c r="A29" s="2" t="inlineStr">
        <is>
          <t>S010201000000</t>
        </is>
      </c>
      <c r="B29" s="3" t="inlineStr">
        <is>
          <t>1.外币贷款</t>
        </is>
      </c>
      <c r="C29" s="4" t="inlineStr">
        <is>
          <t>是</t>
        </is>
      </c>
      <c r="D29" s="9" t="n">
        <v>80000000000</v>
      </c>
      <c r="E29" s="4" t="inlineStr">
        <is>
          <t>asset</t>
        </is>
      </c>
      <c r="F29" s="4" t="inlineStr">
        <is>
          <t>贷款</t>
        </is>
      </c>
      <c r="G29" s="10" t="n">
        <v>2</v>
      </c>
      <c r="H29" s="7">
        <f>D29/(1+0.03)^G29</f>
        <v/>
      </c>
      <c r="I29" s="7">
        <f>D29/(1+0.05)^G29</f>
        <v/>
      </c>
      <c r="J29" s="7">
        <f>H29-I29</f>
        <v/>
      </c>
      <c r="K29" s="7">
        <f>D29/(1+0.02)^G29</f>
        <v/>
      </c>
      <c r="L29" s="7">
        <f>H29-K29</f>
        <v/>
      </c>
      <c r="M29" s="7">
        <f>IF(G29&lt;1,D29/(1+0.05)^G29,D29/(1+0.04)^G29)</f>
        <v/>
      </c>
      <c r="N29" s="7">
        <f>H29-M29</f>
        <v/>
      </c>
      <c r="O29" s="7">
        <f>IF(G29&lt;1,D29/(1+0.02)^G29,D29/(1+0.025)^G29)</f>
        <v/>
      </c>
      <c r="P29" s="7">
        <f>H29-O29</f>
        <v/>
      </c>
      <c r="Q29" s="7">
        <f>IF(G29&lt;1,D29/(1+0.02)^G29,D29/(1+0.04)^G29)</f>
        <v/>
      </c>
      <c r="R29" s="7">
        <f>H29-Q29</f>
        <v/>
      </c>
      <c r="S29" s="7">
        <f>IF(G29&lt;1,D29/(1+0.04)^G29,D29/(1+0.02)^G29)</f>
        <v/>
      </c>
      <c r="T29" s="7">
        <f>H29-S29</f>
        <v/>
      </c>
      <c r="U29" s="8" t="inlineStr"/>
    </row>
    <row r="30">
      <c r="A30" s="2" t="inlineStr">
        <is>
          <t>S010202000000</t>
        </is>
      </c>
      <c r="B30" s="3" t="inlineStr">
        <is>
          <t>2.外币非信贷资产</t>
        </is>
      </c>
      <c r="C30" s="4" t="inlineStr">
        <is>
          <t>否</t>
        </is>
      </c>
      <c r="D30" s="5" t="n"/>
      <c r="E30" s="4" t="inlineStr">
        <is>
          <t>汇总</t>
        </is>
      </c>
      <c r="F30" s="6" t="n"/>
      <c r="G30" s="5" t="n"/>
      <c r="H30" s="7">
        <f>D30/(1+0.03)^G30</f>
        <v/>
      </c>
      <c r="I30" s="7">
        <f>D30/(1+0.05)^G30</f>
        <v/>
      </c>
      <c r="J30" s="7">
        <f>H30-I30</f>
        <v/>
      </c>
      <c r="K30" s="7">
        <f>D30/(1+0.02)^G30</f>
        <v/>
      </c>
      <c r="L30" s="7">
        <f>H30-K30</f>
        <v/>
      </c>
      <c r="M30" s="7">
        <f>IF(G30&lt;1,D30/(1+0.05)^G30,D30/(1+0.04)^G30)</f>
        <v/>
      </c>
      <c r="N30" s="7">
        <f>H30-M30</f>
        <v/>
      </c>
      <c r="O30" s="7">
        <f>IF(G30&lt;1,D30/(1+0.02)^G30,D30/(1+0.025)^G30)</f>
        <v/>
      </c>
      <c r="P30" s="7">
        <f>H30-O30</f>
        <v/>
      </c>
      <c r="Q30" s="7">
        <f>IF(G30&lt;1,D30/(1+0.02)^G30,D30/(1+0.04)^G30)</f>
        <v/>
      </c>
      <c r="R30" s="7">
        <f>H30-Q30</f>
        <v/>
      </c>
      <c r="S30" s="7">
        <f>IF(G30&lt;1,D30/(1+0.04)^G30,D30/(1+0.02)^G30)</f>
        <v/>
      </c>
      <c r="T30" s="7">
        <f>H30-S30</f>
        <v/>
      </c>
      <c r="U30" s="8" t="inlineStr">
        <is>
          <t>汇总节点不参与 EVE 计算</t>
        </is>
      </c>
    </row>
    <row r="31">
      <c r="A31" s="2" t="inlineStr">
        <is>
          <t>S010202010000</t>
        </is>
      </c>
      <c r="B31" s="3" t="inlineStr">
        <is>
          <t>2.1.外币债券</t>
        </is>
      </c>
      <c r="C31" s="4" t="inlineStr">
        <is>
          <t>是</t>
        </is>
      </c>
      <c r="D31" s="9" t="n">
        <v>35000000000</v>
      </c>
      <c r="E31" s="4" t="inlineStr">
        <is>
          <t>asset</t>
        </is>
      </c>
      <c r="F31" s="4" t="inlineStr">
        <is>
          <t>债券</t>
        </is>
      </c>
      <c r="G31" s="10" t="n">
        <v>3.5</v>
      </c>
      <c r="H31" s="7">
        <f>D31/(1+0.03)^G31</f>
        <v/>
      </c>
      <c r="I31" s="7">
        <f>D31/(1+0.05)^G31</f>
        <v/>
      </c>
      <c r="J31" s="7">
        <f>H31-I31</f>
        <v/>
      </c>
      <c r="K31" s="7">
        <f>D31/(1+0.02)^G31</f>
        <v/>
      </c>
      <c r="L31" s="7">
        <f>H31-K31</f>
        <v/>
      </c>
      <c r="M31" s="7">
        <f>IF(G31&lt;1,D31/(1+0.05)^G31,D31/(1+0.04)^G31)</f>
        <v/>
      </c>
      <c r="N31" s="7">
        <f>H31-M31</f>
        <v/>
      </c>
      <c r="O31" s="7">
        <f>IF(G31&lt;1,D31/(1+0.02)^G31,D31/(1+0.025)^G31)</f>
        <v/>
      </c>
      <c r="P31" s="7">
        <f>H31-O31</f>
        <v/>
      </c>
      <c r="Q31" s="7">
        <f>IF(G31&lt;1,D31/(1+0.02)^G31,D31/(1+0.04)^G31)</f>
        <v/>
      </c>
      <c r="R31" s="7">
        <f>H31-Q31</f>
        <v/>
      </c>
      <c r="S31" s="7">
        <f>IF(G31&lt;1,D31/(1+0.04)^G31,D31/(1+0.02)^G31)</f>
        <v/>
      </c>
      <c r="T31" s="7">
        <f>H31-S31</f>
        <v/>
      </c>
      <c r="U31" s="8" t="inlineStr"/>
    </row>
    <row r="32">
      <c r="A32" s="2" t="inlineStr">
        <is>
          <t>S010202020000</t>
        </is>
      </c>
      <c r="B32" s="3" t="inlineStr">
        <is>
          <t>2.2.同业资产</t>
        </is>
      </c>
      <c r="C32" s="4" t="inlineStr">
        <is>
          <t>是</t>
        </is>
      </c>
      <c r="D32" s="9" t="n">
        <v>25000000000</v>
      </c>
      <c r="E32" s="4" t="inlineStr">
        <is>
          <t>asset</t>
        </is>
      </c>
      <c r="F32" s="4" t="inlineStr">
        <is>
          <t>同业</t>
        </is>
      </c>
      <c r="G32" s="10" t="n">
        <v>1</v>
      </c>
      <c r="H32" s="7">
        <f>D32/(1+0.03)^G32</f>
        <v/>
      </c>
      <c r="I32" s="7">
        <f>D32/(1+0.05)^G32</f>
        <v/>
      </c>
      <c r="J32" s="7">
        <f>H32-I32</f>
        <v/>
      </c>
      <c r="K32" s="7">
        <f>D32/(1+0.02)^G32</f>
        <v/>
      </c>
      <c r="L32" s="7">
        <f>H32-K32</f>
        <v/>
      </c>
      <c r="M32" s="7">
        <f>IF(G32&lt;1,D32/(1+0.05)^G32,D32/(1+0.04)^G32)</f>
        <v/>
      </c>
      <c r="N32" s="7">
        <f>H32-M32</f>
        <v/>
      </c>
      <c r="O32" s="7">
        <f>IF(G32&lt;1,D32/(1+0.02)^G32,D32/(1+0.025)^G32)</f>
        <v/>
      </c>
      <c r="P32" s="7">
        <f>H32-O32</f>
        <v/>
      </c>
      <c r="Q32" s="7">
        <f>IF(G32&lt;1,D32/(1+0.02)^G32,D32/(1+0.04)^G32)</f>
        <v/>
      </c>
      <c r="R32" s="7">
        <f>H32-Q32</f>
        <v/>
      </c>
      <c r="S32" s="7">
        <f>IF(G32&lt;1,D32/(1+0.04)^G32,D32/(1+0.02)^G32)</f>
        <v/>
      </c>
      <c r="T32" s="7">
        <f>H32-S32</f>
        <v/>
      </c>
      <c r="U32" s="8" t="inlineStr"/>
    </row>
    <row r="33">
      <c r="A33" s="2" t="inlineStr">
        <is>
          <t>S010203000000</t>
        </is>
      </c>
      <c r="B33" s="3" t="inlineStr">
        <is>
          <t>3.外币非生息资产</t>
        </is>
      </c>
      <c r="C33" s="4" t="inlineStr">
        <is>
          <t>是</t>
        </is>
      </c>
      <c r="D33" s="9" t="n">
        <v>10000000000</v>
      </c>
      <c r="E33" s="4" t="inlineStr">
        <is>
          <t>asset</t>
        </is>
      </c>
      <c r="F33" s="4" t="inlineStr">
        <is>
          <t>无息</t>
        </is>
      </c>
      <c r="G33" s="10" t="n">
        <v>0.25</v>
      </c>
      <c r="H33" s="7">
        <f>D33/(1+0.03)^G33</f>
        <v/>
      </c>
      <c r="I33" s="7">
        <f>D33/(1+0.05)^G33</f>
        <v/>
      </c>
      <c r="J33" s="7">
        <f>H33-I33</f>
        <v/>
      </c>
      <c r="K33" s="7">
        <f>D33/(1+0.02)^G33</f>
        <v/>
      </c>
      <c r="L33" s="7">
        <f>H33-K33</f>
        <v/>
      </c>
      <c r="M33" s="7">
        <f>IF(G33&lt;1,D33/(1+0.05)^G33,D33/(1+0.04)^G33)</f>
        <v/>
      </c>
      <c r="N33" s="7">
        <f>H33-M33</f>
        <v/>
      </c>
      <c r="O33" s="7">
        <f>IF(G33&lt;1,D33/(1+0.02)^G33,D33/(1+0.025)^G33)</f>
        <v/>
      </c>
      <c r="P33" s="7">
        <f>H33-O33</f>
        <v/>
      </c>
      <c r="Q33" s="7">
        <f>IF(G33&lt;1,D33/(1+0.02)^G33,D33/(1+0.04)^G33)</f>
        <v/>
      </c>
      <c r="R33" s="7">
        <f>H33-Q33</f>
        <v/>
      </c>
      <c r="S33" s="7">
        <f>IF(G33&lt;1,D33/(1+0.04)^G33,D33/(1+0.02)^G33)</f>
        <v/>
      </c>
      <c r="T33" s="7">
        <f>H33-S33</f>
        <v/>
      </c>
      <c r="U33" s="8" t="inlineStr"/>
    </row>
    <row r="34">
      <c r="A34" s="2" t="inlineStr">
        <is>
          <t>S020000000000</t>
        </is>
      </c>
      <c r="B34" s="3" t="inlineStr">
        <is>
          <t>总负债</t>
        </is>
      </c>
      <c r="C34" s="4" t="inlineStr">
        <is>
          <t>否</t>
        </is>
      </c>
      <c r="D34" s="5" t="n"/>
      <c r="E34" s="4" t="inlineStr">
        <is>
          <t>汇总</t>
        </is>
      </c>
      <c r="F34" s="6" t="n"/>
      <c r="G34" s="5" t="n"/>
      <c r="H34" s="7">
        <f>D34/(1+0.03)^G34</f>
        <v/>
      </c>
      <c r="I34" s="7">
        <f>D34/(1+0.05)^G34</f>
        <v/>
      </c>
      <c r="J34" s="7">
        <f>H34-I34</f>
        <v/>
      </c>
      <c r="K34" s="7">
        <f>D34/(1+0.02)^G34</f>
        <v/>
      </c>
      <c r="L34" s="7">
        <f>H34-K34</f>
        <v/>
      </c>
      <c r="M34" s="7">
        <f>IF(G34&lt;1,D34/(1+0.05)^G34,D34/(1+0.04)^G34)</f>
        <v/>
      </c>
      <c r="N34" s="7">
        <f>H34-M34</f>
        <v/>
      </c>
      <c r="O34" s="7">
        <f>IF(G34&lt;1,D34/(1+0.02)^G34,D34/(1+0.025)^G34)</f>
        <v/>
      </c>
      <c r="P34" s="7">
        <f>H34-O34</f>
        <v/>
      </c>
      <c r="Q34" s="7">
        <f>IF(G34&lt;1,D34/(1+0.02)^G34,D34/(1+0.04)^G34)</f>
        <v/>
      </c>
      <c r="R34" s="7">
        <f>H34-Q34</f>
        <v/>
      </c>
      <c r="S34" s="7">
        <f>IF(G34&lt;1,D34/(1+0.04)^G34,D34/(1+0.02)^G34)</f>
        <v/>
      </c>
      <c r="T34" s="7">
        <f>H34-S34</f>
        <v/>
      </c>
      <c r="U34" s="8" t="inlineStr">
        <is>
          <t>汇总节点不参与 EVE 计算</t>
        </is>
      </c>
    </row>
    <row r="35">
      <c r="A35" s="2" t="inlineStr">
        <is>
          <t>S020100000000</t>
        </is>
      </c>
      <c r="B35" s="3" t="inlineStr">
        <is>
          <t>（一）人民币小计</t>
        </is>
      </c>
      <c r="C35" s="4" t="inlineStr">
        <is>
          <t>否</t>
        </is>
      </c>
      <c r="D35" s="5" t="n"/>
      <c r="E35" s="4" t="inlineStr">
        <is>
          <t>汇总</t>
        </is>
      </c>
      <c r="F35" s="6" t="n"/>
      <c r="G35" s="5" t="n"/>
      <c r="H35" s="7">
        <f>D35/(1+0.03)^G35</f>
        <v/>
      </c>
      <c r="I35" s="7">
        <f>D35/(1+0.05)^G35</f>
        <v/>
      </c>
      <c r="J35" s="7">
        <f>H35-I35</f>
        <v/>
      </c>
      <c r="K35" s="7">
        <f>D35/(1+0.02)^G35</f>
        <v/>
      </c>
      <c r="L35" s="7">
        <f>H35-K35</f>
        <v/>
      </c>
      <c r="M35" s="7">
        <f>IF(G35&lt;1,D35/(1+0.05)^G35,D35/(1+0.04)^G35)</f>
        <v/>
      </c>
      <c r="N35" s="7">
        <f>H35-M35</f>
        <v/>
      </c>
      <c r="O35" s="7">
        <f>IF(G35&lt;1,D35/(1+0.02)^G35,D35/(1+0.025)^G35)</f>
        <v/>
      </c>
      <c r="P35" s="7">
        <f>H35-O35</f>
        <v/>
      </c>
      <c r="Q35" s="7">
        <f>IF(G35&lt;1,D35/(1+0.02)^G35,D35/(1+0.04)^G35)</f>
        <v/>
      </c>
      <c r="R35" s="7">
        <f>H35-Q35</f>
        <v/>
      </c>
      <c r="S35" s="7">
        <f>IF(G35&lt;1,D35/(1+0.04)^G35,D35/(1+0.02)^G35)</f>
        <v/>
      </c>
      <c r="T35" s="7">
        <f>H35-S35</f>
        <v/>
      </c>
      <c r="U35" s="8" t="inlineStr">
        <is>
          <t>汇总节点不参与 EVE 计算</t>
        </is>
      </c>
    </row>
    <row r="36">
      <c r="A36" s="2" t="inlineStr">
        <is>
          <t>S020101000000</t>
        </is>
      </c>
      <c r="B36" s="3" t="inlineStr">
        <is>
          <t>1.境内人民币自营存款</t>
        </is>
      </c>
      <c r="C36" s="4" t="inlineStr">
        <is>
          <t>否</t>
        </is>
      </c>
      <c r="D36" s="5" t="n"/>
      <c r="E36" s="4" t="inlineStr">
        <is>
          <t>汇总</t>
        </is>
      </c>
      <c r="F36" s="6" t="n"/>
      <c r="G36" s="5" t="n"/>
      <c r="H36" s="7">
        <f>D36/(1+0.03)^G36</f>
        <v/>
      </c>
      <c r="I36" s="7">
        <f>D36/(1+0.05)^G36</f>
        <v/>
      </c>
      <c r="J36" s="7">
        <f>H36-I36</f>
        <v/>
      </c>
      <c r="K36" s="7">
        <f>D36/(1+0.02)^G36</f>
        <v/>
      </c>
      <c r="L36" s="7">
        <f>H36-K36</f>
        <v/>
      </c>
      <c r="M36" s="7">
        <f>IF(G36&lt;1,D36/(1+0.05)^G36,D36/(1+0.04)^G36)</f>
        <v/>
      </c>
      <c r="N36" s="7">
        <f>H36-M36</f>
        <v/>
      </c>
      <c r="O36" s="7">
        <f>IF(G36&lt;1,D36/(1+0.02)^G36,D36/(1+0.025)^G36)</f>
        <v/>
      </c>
      <c r="P36" s="7">
        <f>H36-O36</f>
        <v/>
      </c>
      <c r="Q36" s="7">
        <f>IF(G36&lt;1,D36/(1+0.02)^G36,D36/(1+0.04)^G36)</f>
        <v/>
      </c>
      <c r="R36" s="7">
        <f>H36-Q36</f>
        <v/>
      </c>
      <c r="S36" s="7">
        <f>IF(G36&lt;1,D36/(1+0.04)^G36,D36/(1+0.02)^G36)</f>
        <v/>
      </c>
      <c r="T36" s="7">
        <f>H36-S36</f>
        <v/>
      </c>
      <c r="U36" s="8" t="inlineStr">
        <is>
          <t>汇总节点不参与 EVE 计算</t>
        </is>
      </c>
    </row>
    <row r="37">
      <c r="A37" s="2" t="inlineStr">
        <is>
          <t>S020101010000</t>
        </is>
      </c>
      <c r="B37" s="3" t="inlineStr">
        <is>
          <t>1.1.对公存款</t>
        </is>
      </c>
      <c r="C37" s="4" t="inlineStr">
        <is>
          <t>否</t>
        </is>
      </c>
      <c r="D37" s="9" t="n">
        <v>4222682106931.64</v>
      </c>
      <c r="E37" s="4" t="inlineStr">
        <is>
          <t>汇总</t>
        </is>
      </c>
      <c r="F37" s="6" t="n"/>
      <c r="G37" s="5" t="n"/>
      <c r="H37" s="7">
        <f>D37/(1+0.03)^G37</f>
        <v/>
      </c>
      <c r="I37" s="7">
        <f>D37/(1+0.05)^G37</f>
        <v/>
      </c>
      <c r="J37" s="7">
        <f>H37-I37</f>
        <v/>
      </c>
      <c r="K37" s="7">
        <f>D37/(1+0.02)^G37</f>
        <v/>
      </c>
      <c r="L37" s="7">
        <f>H37-K37</f>
        <v/>
      </c>
      <c r="M37" s="7">
        <f>IF(G37&lt;1,D37/(1+0.05)^G37,D37/(1+0.04)^G37)</f>
        <v/>
      </c>
      <c r="N37" s="7">
        <f>H37-M37</f>
        <v/>
      </c>
      <c r="O37" s="7">
        <f>IF(G37&lt;1,D37/(1+0.02)^G37,D37/(1+0.025)^G37)</f>
        <v/>
      </c>
      <c r="P37" s="7">
        <f>H37-O37</f>
        <v/>
      </c>
      <c r="Q37" s="7">
        <f>IF(G37&lt;1,D37/(1+0.02)^G37,D37/(1+0.04)^G37)</f>
        <v/>
      </c>
      <c r="R37" s="7">
        <f>H37-Q37</f>
        <v/>
      </c>
      <c r="S37" s="7">
        <f>IF(G37&lt;1,D37/(1+0.04)^G37,D37/(1+0.02)^G37)</f>
        <v/>
      </c>
      <c r="T37" s="7">
        <f>H37-S37</f>
        <v/>
      </c>
      <c r="U37" s="8" t="inlineStr">
        <is>
          <t>汇总节点不参与 EVE 计算</t>
        </is>
      </c>
    </row>
    <row r="38">
      <c r="A38" s="2" t="inlineStr">
        <is>
          <t>S020101010100</t>
        </is>
      </c>
      <c r="B38" s="3" t="inlineStr">
        <is>
          <t>1.1.1对公活期存款</t>
        </is>
      </c>
      <c r="C38" s="4" t="inlineStr">
        <is>
          <t>是</t>
        </is>
      </c>
      <c r="D38" s="9" t="n">
        <v>2486212417437.03</v>
      </c>
      <c r="E38" s="4" t="inlineStr">
        <is>
          <t>liab</t>
        </is>
      </c>
      <c r="F38" s="4" t="inlineStr">
        <is>
          <t>活期</t>
        </is>
      </c>
      <c r="G38" s="10" t="n">
        <v>1</v>
      </c>
      <c r="H38" s="7">
        <f>D38/(1+0.03)^G38</f>
        <v/>
      </c>
      <c r="I38" s="7">
        <f>D38/(1+0.05)^G38</f>
        <v/>
      </c>
      <c r="J38" s="7">
        <f>H38-I38</f>
        <v/>
      </c>
      <c r="K38" s="7">
        <f>D38/(1+0.02)^G38</f>
        <v/>
      </c>
      <c r="L38" s="7">
        <f>H38-K38</f>
        <v/>
      </c>
      <c r="M38" s="7">
        <f>IF(G38&lt;1,D38/(1+0.05)^G38,D38/(1+0.04)^G38)</f>
        <v/>
      </c>
      <c r="N38" s="7">
        <f>H38-M38</f>
        <v/>
      </c>
      <c r="O38" s="7">
        <f>IF(G38&lt;1,D38/(1+0.02)^G38,D38/(1+0.025)^G38)</f>
        <v/>
      </c>
      <c r="P38" s="7">
        <f>H38-O38</f>
        <v/>
      </c>
      <c r="Q38" s="7">
        <f>IF(G38&lt;1,D38/(1+0.02)^G38,D38/(1+0.04)^G38)</f>
        <v/>
      </c>
      <c r="R38" s="7">
        <f>H38-Q38</f>
        <v/>
      </c>
      <c r="S38" s="7">
        <f>IF(G38&lt;1,D38/(1+0.04)^G38,D38/(1+0.02)^G38)</f>
        <v/>
      </c>
      <c r="T38" s="7">
        <f>H38-S38</f>
        <v/>
      </c>
      <c r="U38" s="8" t="inlineStr"/>
    </row>
    <row r="39">
      <c r="A39" s="2" t="inlineStr">
        <is>
          <t>S020101010200</t>
        </is>
      </c>
      <c r="B39" s="3" t="inlineStr">
        <is>
          <t>1.1.2对公定期存款</t>
        </is>
      </c>
      <c r="C39" s="4" t="inlineStr">
        <is>
          <t>是</t>
        </is>
      </c>
      <c r="D39" s="9" t="n">
        <v>1736469689494.61</v>
      </c>
      <c r="E39" s="4" t="inlineStr">
        <is>
          <t>liab</t>
        </is>
      </c>
      <c r="F39" s="4" t="inlineStr">
        <is>
          <t>定期</t>
        </is>
      </c>
      <c r="G39" s="10" t="n">
        <v>2</v>
      </c>
      <c r="H39" s="7">
        <f>D39/(1+0.03)^G39</f>
        <v/>
      </c>
      <c r="I39" s="7">
        <f>D39/(1+0.05)^G39</f>
        <v/>
      </c>
      <c r="J39" s="7">
        <f>H39-I39</f>
        <v/>
      </c>
      <c r="K39" s="7">
        <f>D39/(1+0.02)^G39</f>
        <v/>
      </c>
      <c r="L39" s="7">
        <f>H39-K39</f>
        <v/>
      </c>
      <c r="M39" s="7">
        <f>IF(G39&lt;1,D39/(1+0.05)^G39,D39/(1+0.04)^G39)</f>
        <v/>
      </c>
      <c r="N39" s="7">
        <f>H39-M39</f>
        <v/>
      </c>
      <c r="O39" s="7">
        <f>IF(G39&lt;1,D39/(1+0.02)^G39,D39/(1+0.025)^G39)</f>
        <v/>
      </c>
      <c r="P39" s="7">
        <f>H39-O39</f>
        <v/>
      </c>
      <c r="Q39" s="7">
        <f>IF(G39&lt;1,D39/(1+0.02)^G39,D39/(1+0.04)^G39)</f>
        <v/>
      </c>
      <c r="R39" s="7">
        <f>H39-Q39</f>
        <v/>
      </c>
      <c r="S39" s="7">
        <f>IF(G39&lt;1,D39/(1+0.04)^G39,D39/(1+0.02)^G39)</f>
        <v/>
      </c>
      <c r="T39" s="7">
        <f>H39-S39</f>
        <v/>
      </c>
      <c r="U39" s="8" t="inlineStr"/>
    </row>
    <row r="40">
      <c r="A40" s="2" t="inlineStr">
        <is>
          <t>S020101020000</t>
        </is>
      </c>
      <c r="B40" s="3" t="inlineStr">
        <is>
          <t>1.2.零售存款</t>
        </is>
      </c>
      <c r="C40" s="4" t="inlineStr">
        <is>
          <t>否</t>
        </is>
      </c>
      <c r="D40" s="9" t="n">
        <v>2169431482604.05</v>
      </c>
      <c r="E40" s="4" t="inlineStr">
        <is>
          <t>汇总</t>
        </is>
      </c>
      <c r="F40" s="6" t="n"/>
      <c r="G40" s="5" t="n"/>
      <c r="H40" s="7">
        <f>D40/(1+0.03)^G40</f>
        <v/>
      </c>
      <c r="I40" s="7">
        <f>D40/(1+0.05)^G40</f>
        <v/>
      </c>
      <c r="J40" s="7">
        <f>H40-I40</f>
        <v/>
      </c>
      <c r="K40" s="7">
        <f>D40/(1+0.02)^G40</f>
        <v/>
      </c>
      <c r="L40" s="7">
        <f>H40-K40</f>
        <v/>
      </c>
      <c r="M40" s="7">
        <f>IF(G40&lt;1,D40/(1+0.05)^G40,D40/(1+0.04)^G40)</f>
        <v/>
      </c>
      <c r="N40" s="7">
        <f>H40-M40</f>
        <v/>
      </c>
      <c r="O40" s="7">
        <f>IF(G40&lt;1,D40/(1+0.02)^G40,D40/(1+0.025)^G40)</f>
        <v/>
      </c>
      <c r="P40" s="7">
        <f>H40-O40</f>
        <v/>
      </c>
      <c r="Q40" s="7">
        <f>IF(G40&lt;1,D40/(1+0.02)^G40,D40/(1+0.04)^G40)</f>
        <v/>
      </c>
      <c r="R40" s="7">
        <f>H40-Q40</f>
        <v/>
      </c>
      <c r="S40" s="7">
        <f>IF(G40&lt;1,D40/(1+0.04)^G40,D40/(1+0.02)^G40)</f>
        <v/>
      </c>
      <c r="T40" s="7">
        <f>H40-S40</f>
        <v/>
      </c>
      <c r="U40" s="8" t="inlineStr">
        <is>
          <t>汇总节点不参与 EVE 计算</t>
        </is>
      </c>
    </row>
    <row r="41">
      <c r="A41" s="2" t="inlineStr">
        <is>
          <t>S020101020100</t>
        </is>
      </c>
      <c r="B41" s="3" t="inlineStr">
        <is>
          <t>1.2.1零售活期存款</t>
        </is>
      </c>
      <c r="C41" s="4" t="inlineStr">
        <is>
          <t>是</t>
        </is>
      </c>
      <c r="D41" s="9" t="n">
        <v>434867199487.65</v>
      </c>
      <c r="E41" s="4" t="inlineStr">
        <is>
          <t>liab</t>
        </is>
      </c>
      <c r="F41" s="4" t="inlineStr">
        <is>
          <t>活期</t>
        </is>
      </c>
      <c r="G41" s="10" t="n">
        <v>1</v>
      </c>
      <c r="H41" s="7">
        <f>D41/(1+0.03)^G41</f>
        <v/>
      </c>
      <c r="I41" s="7">
        <f>D41/(1+0.05)^G41</f>
        <v/>
      </c>
      <c r="J41" s="7">
        <f>H41-I41</f>
        <v/>
      </c>
      <c r="K41" s="7">
        <f>D41/(1+0.02)^G41</f>
        <v/>
      </c>
      <c r="L41" s="7">
        <f>H41-K41</f>
        <v/>
      </c>
      <c r="M41" s="7">
        <f>IF(G41&lt;1,D41/(1+0.05)^G41,D41/(1+0.04)^G41)</f>
        <v/>
      </c>
      <c r="N41" s="7">
        <f>H41-M41</f>
        <v/>
      </c>
      <c r="O41" s="7">
        <f>IF(G41&lt;1,D41/(1+0.02)^G41,D41/(1+0.025)^G41)</f>
        <v/>
      </c>
      <c r="P41" s="7">
        <f>H41-O41</f>
        <v/>
      </c>
      <c r="Q41" s="7">
        <f>IF(G41&lt;1,D41/(1+0.02)^G41,D41/(1+0.04)^G41)</f>
        <v/>
      </c>
      <c r="R41" s="7">
        <f>H41-Q41</f>
        <v/>
      </c>
      <c r="S41" s="7">
        <f>IF(G41&lt;1,D41/(1+0.04)^G41,D41/(1+0.02)^G41)</f>
        <v/>
      </c>
      <c r="T41" s="7">
        <f>H41-S41</f>
        <v/>
      </c>
      <c r="U41" s="8" t="inlineStr"/>
    </row>
    <row r="42">
      <c r="A42" s="2" t="inlineStr">
        <is>
          <t>S020101020200</t>
        </is>
      </c>
      <c r="B42" s="3" t="inlineStr">
        <is>
          <t>1.2.2零售定期存款</t>
        </is>
      </c>
      <c r="C42" s="4" t="inlineStr">
        <is>
          <t>是</t>
        </is>
      </c>
      <c r="D42" s="9" t="n">
        <v>1734564283116.4</v>
      </c>
      <c r="E42" s="4" t="inlineStr">
        <is>
          <t>liab</t>
        </is>
      </c>
      <c r="F42" s="4" t="inlineStr">
        <is>
          <t>定期</t>
        </is>
      </c>
      <c r="G42" s="10" t="n">
        <v>2.5</v>
      </c>
      <c r="H42" s="7">
        <f>D42/(1+0.03)^G42</f>
        <v/>
      </c>
      <c r="I42" s="7">
        <f>D42/(1+0.05)^G42</f>
        <v/>
      </c>
      <c r="J42" s="7">
        <f>H42-I42</f>
        <v/>
      </c>
      <c r="K42" s="7">
        <f>D42/(1+0.02)^G42</f>
        <v/>
      </c>
      <c r="L42" s="7">
        <f>H42-K42</f>
        <v/>
      </c>
      <c r="M42" s="7">
        <f>IF(G42&lt;1,D42/(1+0.05)^G42,D42/(1+0.04)^G42)</f>
        <v/>
      </c>
      <c r="N42" s="7">
        <f>H42-M42</f>
        <v/>
      </c>
      <c r="O42" s="7">
        <f>IF(G42&lt;1,D42/(1+0.02)^G42,D42/(1+0.025)^G42)</f>
        <v/>
      </c>
      <c r="P42" s="7">
        <f>H42-O42</f>
        <v/>
      </c>
      <c r="Q42" s="7">
        <f>IF(G42&lt;1,D42/(1+0.02)^G42,D42/(1+0.04)^G42)</f>
        <v/>
      </c>
      <c r="R42" s="7">
        <f>H42-Q42</f>
        <v/>
      </c>
      <c r="S42" s="7">
        <f>IF(G42&lt;1,D42/(1+0.04)^G42,D42/(1+0.02)^G42)</f>
        <v/>
      </c>
      <c r="T42" s="7">
        <f>H42-S42</f>
        <v/>
      </c>
      <c r="U42" s="8" t="inlineStr"/>
    </row>
    <row r="43">
      <c r="A43" s="2" t="inlineStr">
        <is>
          <t>S020102000000</t>
        </is>
      </c>
      <c r="B43" s="3" t="inlineStr">
        <is>
          <t>2.人民币市场化负债</t>
        </is>
      </c>
      <c r="C43" s="4" t="inlineStr">
        <is>
          <t>否</t>
        </is>
      </c>
      <c r="D43" s="5" t="n"/>
      <c r="E43" s="4" t="inlineStr">
        <is>
          <t>汇总</t>
        </is>
      </c>
      <c r="F43" s="6" t="n"/>
      <c r="G43" s="5" t="n"/>
      <c r="H43" s="7">
        <f>D43/(1+0.03)^G43</f>
        <v/>
      </c>
      <c r="I43" s="7">
        <f>D43/(1+0.05)^G43</f>
        <v/>
      </c>
      <c r="J43" s="7">
        <f>H43-I43</f>
        <v/>
      </c>
      <c r="K43" s="7">
        <f>D43/(1+0.02)^G43</f>
        <v/>
      </c>
      <c r="L43" s="7">
        <f>H43-K43</f>
        <v/>
      </c>
      <c r="M43" s="7">
        <f>IF(G43&lt;1,D43/(1+0.05)^G43,D43/(1+0.04)^G43)</f>
        <v/>
      </c>
      <c r="N43" s="7">
        <f>H43-M43</f>
        <v/>
      </c>
      <c r="O43" s="7">
        <f>IF(G43&lt;1,D43/(1+0.02)^G43,D43/(1+0.025)^G43)</f>
        <v/>
      </c>
      <c r="P43" s="7">
        <f>H43-O43</f>
        <v/>
      </c>
      <c r="Q43" s="7">
        <f>IF(G43&lt;1,D43/(1+0.02)^G43,D43/(1+0.04)^G43)</f>
        <v/>
      </c>
      <c r="R43" s="7">
        <f>H43-Q43</f>
        <v/>
      </c>
      <c r="S43" s="7">
        <f>IF(G43&lt;1,D43/(1+0.04)^G43,D43/(1+0.02)^G43)</f>
        <v/>
      </c>
      <c r="T43" s="7">
        <f>H43-S43</f>
        <v/>
      </c>
      <c r="U43" s="8" t="inlineStr">
        <is>
          <t>汇总节点不参与 EVE 计算</t>
        </is>
      </c>
    </row>
    <row r="44">
      <c r="A44" s="2" t="inlineStr">
        <is>
          <t>S020102010000</t>
        </is>
      </c>
      <c r="B44" s="3" t="inlineStr">
        <is>
          <t>2.2.1同业负债</t>
        </is>
      </c>
      <c r="C44" s="4" t="inlineStr">
        <is>
          <t>否</t>
        </is>
      </c>
      <c r="D44" s="5" t="n"/>
      <c r="E44" s="4" t="inlineStr">
        <is>
          <t>汇总</t>
        </is>
      </c>
      <c r="F44" s="6" t="n"/>
      <c r="G44" s="5" t="n"/>
      <c r="H44" s="7">
        <f>D44/(1+0.03)^G44</f>
        <v/>
      </c>
      <c r="I44" s="7">
        <f>D44/(1+0.05)^G44</f>
        <v/>
      </c>
      <c r="J44" s="7">
        <f>H44-I44</f>
        <v/>
      </c>
      <c r="K44" s="7">
        <f>D44/(1+0.02)^G44</f>
        <v/>
      </c>
      <c r="L44" s="7">
        <f>H44-K44</f>
        <v/>
      </c>
      <c r="M44" s="7">
        <f>IF(G44&lt;1,D44/(1+0.05)^G44,D44/(1+0.04)^G44)</f>
        <v/>
      </c>
      <c r="N44" s="7">
        <f>H44-M44</f>
        <v/>
      </c>
      <c r="O44" s="7">
        <f>IF(G44&lt;1,D44/(1+0.02)^G44,D44/(1+0.025)^G44)</f>
        <v/>
      </c>
      <c r="P44" s="7">
        <f>H44-O44</f>
        <v/>
      </c>
      <c r="Q44" s="7">
        <f>IF(G44&lt;1,D44/(1+0.02)^G44,D44/(1+0.04)^G44)</f>
        <v/>
      </c>
      <c r="R44" s="7">
        <f>H44-Q44</f>
        <v/>
      </c>
      <c r="S44" s="7">
        <f>IF(G44&lt;1,D44/(1+0.04)^G44,D44/(1+0.02)^G44)</f>
        <v/>
      </c>
      <c r="T44" s="7">
        <f>H44-S44</f>
        <v/>
      </c>
      <c r="U44" s="8" t="inlineStr">
        <is>
          <t>汇总节点不参与 EVE 计算</t>
        </is>
      </c>
    </row>
    <row r="45">
      <c r="A45" s="2" t="inlineStr">
        <is>
          <t>S020102010100</t>
        </is>
      </c>
      <c r="B45" s="3" t="inlineStr">
        <is>
          <t>2.2.1.1货币市场同业拆入</t>
        </is>
      </c>
      <c r="C45" s="4" t="inlineStr">
        <is>
          <t>是</t>
        </is>
      </c>
      <c r="D45" s="9" t="n">
        <v>32988348999.99</v>
      </c>
      <c r="E45" s="4" t="inlineStr">
        <is>
          <t>liab</t>
        </is>
      </c>
      <c r="F45" s="4" t="inlineStr">
        <is>
          <t>同业</t>
        </is>
      </c>
      <c r="G45" s="10" t="n">
        <v>0.5</v>
      </c>
      <c r="H45" s="7">
        <f>D45/(1+0.03)^G45</f>
        <v/>
      </c>
      <c r="I45" s="7">
        <f>D45/(1+0.05)^G45</f>
        <v/>
      </c>
      <c r="J45" s="7">
        <f>H45-I45</f>
        <v/>
      </c>
      <c r="K45" s="7">
        <f>D45/(1+0.02)^G45</f>
        <v/>
      </c>
      <c r="L45" s="7">
        <f>H45-K45</f>
        <v/>
      </c>
      <c r="M45" s="7">
        <f>IF(G45&lt;1,D45/(1+0.05)^G45,D45/(1+0.04)^G45)</f>
        <v/>
      </c>
      <c r="N45" s="7">
        <f>H45-M45</f>
        <v/>
      </c>
      <c r="O45" s="7">
        <f>IF(G45&lt;1,D45/(1+0.02)^G45,D45/(1+0.025)^G45)</f>
        <v/>
      </c>
      <c r="P45" s="7">
        <f>H45-O45</f>
        <v/>
      </c>
      <c r="Q45" s="7">
        <f>IF(G45&lt;1,D45/(1+0.02)^G45,D45/(1+0.04)^G45)</f>
        <v/>
      </c>
      <c r="R45" s="7">
        <f>H45-Q45</f>
        <v/>
      </c>
      <c r="S45" s="7">
        <f>IF(G45&lt;1,D45/(1+0.04)^G45,D45/(1+0.02)^G45)</f>
        <v/>
      </c>
      <c r="T45" s="7">
        <f>H45-S45</f>
        <v/>
      </c>
      <c r="U45" s="8" t="inlineStr"/>
    </row>
    <row r="46">
      <c r="A46" s="2" t="inlineStr">
        <is>
          <t>S020102010200</t>
        </is>
      </c>
      <c r="B46" s="3" t="inlineStr">
        <is>
          <t>2.2.1.2货币市场债券回购</t>
        </is>
      </c>
      <c r="C46" s="4" t="inlineStr">
        <is>
          <t>是</t>
        </is>
      </c>
      <c r="D46" s="9" t="n">
        <v>95875096000</v>
      </c>
      <c r="E46" s="4" t="inlineStr">
        <is>
          <t>liab</t>
        </is>
      </c>
      <c r="F46" s="4" t="inlineStr">
        <is>
          <t>回购</t>
        </is>
      </c>
      <c r="G46" s="10" t="n">
        <v>0.25</v>
      </c>
      <c r="H46" s="7">
        <f>D46/(1+0.03)^G46</f>
        <v/>
      </c>
      <c r="I46" s="7">
        <f>D46/(1+0.05)^G46</f>
        <v/>
      </c>
      <c r="J46" s="7">
        <f>H46-I46</f>
        <v/>
      </c>
      <c r="K46" s="7">
        <f>D46/(1+0.02)^G46</f>
        <v/>
      </c>
      <c r="L46" s="7">
        <f>H46-K46</f>
        <v/>
      </c>
      <c r="M46" s="7">
        <f>IF(G46&lt;1,D46/(1+0.05)^G46,D46/(1+0.04)^G46)</f>
        <v/>
      </c>
      <c r="N46" s="7">
        <f>H46-M46</f>
        <v/>
      </c>
      <c r="O46" s="7">
        <f>IF(G46&lt;1,D46/(1+0.02)^G46,D46/(1+0.025)^G46)</f>
        <v/>
      </c>
      <c r="P46" s="7">
        <f>H46-O46</f>
        <v/>
      </c>
      <c r="Q46" s="7">
        <f>IF(G46&lt;1,D46/(1+0.02)^G46,D46/(1+0.04)^G46)</f>
        <v/>
      </c>
      <c r="R46" s="7">
        <f>H46-Q46</f>
        <v/>
      </c>
      <c r="S46" s="7">
        <f>IF(G46&lt;1,D46/(1+0.04)^G46,D46/(1+0.02)^G46)</f>
        <v/>
      </c>
      <c r="T46" s="7">
        <f>H46-S46</f>
        <v/>
      </c>
      <c r="U46" s="8" t="inlineStr"/>
    </row>
    <row r="47">
      <c r="A47" s="2" t="inlineStr">
        <is>
          <t>S020102010300</t>
        </is>
      </c>
      <c r="B47" s="3" t="inlineStr">
        <is>
          <t>2.2.1.3同业存单（NCD）</t>
        </is>
      </c>
      <c r="C47" s="4" t="inlineStr">
        <is>
          <t>是</t>
        </is>
      </c>
      <c r="D47" s="9" t="n">
        <v>932237942418.6899</v>
      </c>
      <c r="E47" s="4" t="inlineStr">
        <is>
          <t>liab</t>
        </is>
      </c>
      <c r="F47" s="4" t="inlineStr">
        <is>
          <t>NCD</t>
        </is>
      </c>
      <c r="G47" s="10" t="n">
        <v>1</v>
      </c>
      <c r="H47" s="7">
        <f>D47/(1+0.03)^G47</f>
        <v/>
      </c>
      <c r="I47" s="7">
        <f>D47/(1+0.05)^G47</f>
        <v/>
      </c>
      <c r="J47" s="7">
        <f>H47-I47</f>
        <v/>
      </c>
      <c r="K47" s="7">
        <f>D47/(1+0.02)^G47</f>
        <v/>
      </c>
      <c r="L47" s="7">
        <f>H47-K47</f>
        <v/>
      </c>
      <c r="M47" s="7">
        <f>IF(G47&lt;1,D47/(1+0.05)^G47,D47/(1+0.04)^G47)</f>
        <v/>
      </c>
      <c r="N47" s="7">
        <f>H47-M47</f>
        <v/>
      </c>
      <c r="O47" s="7">
        <f>IF(G47&lt;1,D47/(1+0.02)^G47,D47/(1+0.025)^G47)</f>
        <v/>
      </c>
      <c r="P47" s="7">
        <f>H47-O47</f>
        <v/>
      </c>
      <c r="Q47" s="7">
        <f>IF(G47&lt;1,D47/(1+0.02)^G47,D47/(1+0.04)^G47)</f>
        <v/>
      </c>
      <c r="R47" s="7">
        <f>H47-Q47</f>
        <v/>
      </c>
      <c r="S47" s="7">
        <f>IF(G47&lt;1,D47/(1+0.04)^G47,D47/(1+0.02)^G47)</f>
        <v/>
      </c>
      <c r="T47" s="7">
        <f>H47-S47</f>
        <v/>
      </c>
      <c r="U47" s="8" t="inlineStr"/>
    </row>
    <row r="48">
      <c r="A48" s="2" t="inlineStr">
        <is>
          <t>S020102010400</t>
        </is>
      </c>
      <c r="B48" s="3" t="inlineStr">
        <is>
          <t>2.2.1.4同业存款</t>
        </is>
      </c>
      <c r="C48" s="4" t="inlineStr">
        <is>
          <t>是</t>
        </is>
      </c>
      <c r="D48" s="9" t="n">
        <v>915605054241.89</v>
      </c>
      <c r="E48" s="4" t="inlineStr">
        <is>
          <t>liab</t>
        </is>
      </c>
      <c r="F48" s="4" t="inlineStr">
        <is>
          <t>同业</t>
        </is>
      </c>
      <c r="G48" s="10" t="n">
        <v>1</v>
      </c>
      <c r="H48" s="7">
        <f>D48/(1+0.03)^G48</f>
        <v/>
      </c>
      <c r="I48" s="7">
        <f>D48/(1+0.05)^G48</f>
        <v/>
      </c>
      <c r="J48" s="7">
        <f>H48-I48</f>
        <v/>
      </c>
      <c r="K48" s="7">
        <f>D48/(1+0.02)^G48</f>
        <v/>
      </c>
      <c r="L48" s="7">
        <f>H48-K48</f>
        <v/>
      </c>
      <c r="M48" s="7">
        <f>IF(G48&lt;1,D48/(1+0.05)^G48,D48/(1+0.04)^G48)</f>
        <v/>
      </c>
      <c r="N48" s="7">
        <f>H48-M48</f>
        <v/>
      </c>
      <c r="O48" s="7">
        <f>IF(G48&lt;1,D48/(1+0.02)^G48,D48/(1+0.025)^G48)</f>
        <v/>
      </c>
      <c r="P48" s="7">
        <f>H48-O48</f>
        <v/>
      </c>
      <c r="Q48" s="7">
        <f>IF(G48&lt;1,D48/(1+0.02)^G48,D48/(1+0.04)^G48)</f>
        <v/>
      </c>
      <c r="R48" s="7">
        <f>H48-Q48</f>
        <v/>
      </c>
      <c r="S48" s="7">
        <f>IF(G48&lt;1,D48/(1+0.04)^G48,D48/(1+0.02)^G48)</f>
        <v/>
      </c>
      <c r="T48" s="7">
        <f>H48-S48</f>
        <v/>
      </c>
      <c r="U48" s="8" t="inlineStr"/>
    </row>
    <row r="49">
      <c r="A49" s="2" t="inlineStr">
        <is>
          <t>S020102010500</t>
        </is>
      </c>
      <c r="B49" s="3" t="inlineStr">
        <is>
          <t>2.2.1.5票据转贴现回购</t>
        </is>
      </c>
      <c r="C49" s="4" t="inlineStr">
        <is>
          <t>是</t>
        </is>
      </c>
      <c r="D49" s="9" t="n">
        <v>1000000000</v>
      </c>
      <c r="E49" s="4" t="inlineStr">
        <is>
          <t>liab</t>
        </is>
      </c>
      <c r="F49" s="4" t="inlineStr">
        <is>
          <t>回购</t>
        </is>
      </c>
      <c r="G49" s="10" t="n">
        <v>0.25</v>
      </c>
      <c r="H49" s="7">
        <f>D49/(1+0.03)^G49</f>
        <v/>
      </c>
      <c r="I49" s="7">
        <f>D49/(1+0.05)^G49</f>
        <v/>
      </c>
      <c r="J49" s="7">
        <f>H49-I49</f>
        <v/>
      </c>
      <c r="K49" s="7">
        <f>D49/(1+0.02)^G49</f>
        <v/>
      </c>
      <c r="L49" s="7">
        <f>H49-K49</f>
        <v/>
      </c>
      <c r="M49" s="7">
        <f>IF(G49&lt;1,D49/(1+0.05)^G49,D49/(1+0.04)^G49)</f>
        <v/>
      </c>
      <c r="N49" s="7">
        <f>H49-M49</f>
        <v/>
      </c>
      <c r="O49" s="7">
        <f>IF(G49&lt;1,D49/(1+0.02)^G49,D49/(1+0.025)^G49)</f>
        <v/>
      </c>
      <c r="P49" s="7">
        <f>H49-O49</f>
        <v/>
      </c>
      <c r="Q49" s="7">
        <f>IF(G49&lt;1,D49/(1+0.02)^G49,D49/(1+0.04)^G49)</f>
        <v/>
      </c>
      <c r="R49" s="7">
        <f>H49-Q49</f>
        <v/>
      </c>
      <c r="S49" s="7">
        <f>IF(G49&lt;1,D49/(1+0.04)^G49,D49/(1+0.02)^G49)</f>
        <v/>
      </c>
      <c r="T49" s="7">
        <f>H49-S49</f>
        <v/>
      </c>
      <c r="U49" s="8" t="inlineStr"/>
    </row>
    <row r="50">
      <c r="A50" s="2" t="inlineStr">
        <is>
          <t>S020102020000</t>
        </is>
      </c>
      <c r="B50" s="3" t="inlineStr">
        <is>
          <t>2.2.2央行借款</t>
        </is>
      </c>
      <c r="C50" s="4" t="inlineStr">
        <is>
          <t>否</t>
        </is>
      </c>
      <c r="D50" s="5" t="n"/>
      <c r="E50" s="4" t="inlineStr">
        <is>
          <t>汇总</t>
        </is>
      </c>
      <c r="F50" s="6" t="n"/>
      <c r="G50" s="5" t="n"/>
      <c r="H50" s="7">
        <f>D50/(1+0.03)^G50</f>
        <v/>
      </c>
      <c r="I50" s="7">
        <f>D50/(1+0.05)^G50</f>
        <v/>
      </c>
      <c r="J50" s="7">
        <f>H50-I50</f>
        <v/>
      </c>
      <c r="K50" s="7">
        <f>D50/(1+0.02)^G50</f>
        <v/>
      </c>
      <c r="L50" s="7">
        <f>H50-K50</f>
        <v/>
      </c>
      <c r="M50" s="7">
        <f>IF(G50&lt;1,D50/(1+0.05)^G50,D50/(1+0.04)^G50)</f>
        <v/>
      </c>
      <c r="N50" s="7">
        <f>H50-M50</f>
        <v/>
      </c>
      <c r="O50" s="7">
        <f>IF(G50&lt;1,D50/(1+0.02)^G50,D50/(1+0.025)^G50)</f>
        <v/>
      </c>
      <c r="P50" s="7">
        <f>H50-O50</f>
        <v/>
      </c>
      <c r="Q50" s="7">
        <f>IF(G50&lt;1,D50/(1+0.02)^G50,D50/(1+0.04)^G50)</f>
        <v/>
      </c>
      <c r="R50" s="7">
        <f>H50-Q50</f>
        <v/>
      </c>
      <c r="S50" s="7">
        <f>IF(G50&lt;1,D50/(1+0.04)^G50,D50/(1+0.02)^G50)</f>
        <v/>
      </c>
      <c r="T50" s="7">
        <f>H50-S50</f>
        <v/>
      </c>
      <c r="U50" s="8" t="inlineStr">
        <is>
          <t>汇总节点不参与 EVE 计算</t>
        </is>
      </c>
    </row>
    <row r="51">
      <c r="A51" s="2" t="inlineStr">
        <is>
          <t>S020102020100</t>
        </is>
      </c>
      <c r="B51" s="3" t="inlineStr">
        <is>
          <t>2.2.2.1公开市场回购（买断）</t>
        </is>
      </c>
      <c r="C51" s="4" t="inlineStr">
        <is>
          <t>是</t>
        </is>
      </c>
      <c r="D51" s="9" t="n">
        <v>353887790000</v>
      </c>
      <c r="E51" s="4" t="inlineStr">
        <is>
          <t>liab</t>
        </is>
      </c>
      <c r="F51" s="4" t="inlineStr">
        <is>
          <t>回购</t>
        </is>
      </c>
      <c r="G51" s="10" t="n">
        <v>0</v>
      </c>
      <c r="H51" s="7">
        <f>D51/(1+0.03)^G51</f>
        <v/>
      </c>
      <c r="I51" s="7">
        <f>D51/(1+0.05)^G51</f>
        <v/>
      </c>
      <c r="J51" s="7">
        <f>H51-I51</f>
        <v/>
      </c>
      <c r="K51" s="7">
        <f>D51/(1+0.02)^G51</f>
        <v/>
      </c>
      <c r="L51" s="7">
        <f>H51-K51</f>
        <v/>
      </c>
      <c r="M51" s="7">
        <f>IF(G51&lt;1,D51/(1+0.05)^G51,D51/(1+0.04)^G51)</f>
        <v/>
      </c>
      <c r="N51" s="7">
        <f>H51-M51</f>
        <v/>
      </c>
      <c r="O51" s="7">
        <f>IF(G51&lt;1,D51/(1+0.02)^G51,D51/(1+0.025)^G51)</f>
        <v/>
      </c>
      <c r="P51" s="7">
        <f>H51-O51</f>
        <v/>
      </c>
      <c r="Q51" s="7">
        <f>IF(G51&lt;1,D51/(1+0.02)^G51,D51/(1+0.04)^G51)</f>
        <v/>
      </c>
      <c r="R51" s="7">
        <f>H51-Q51</f>
        <v/>
      </c>
      <c r="S51" s="7">
        <f>IF(G51&lt;1,D51/(1+0.04)^G51,D51/(1+0.02)^G51)</f>
        <v/>
      </c>
      <c r="T51" s="7">
        <f>H51-S51</f>
        <v/>
      </c>
      <c r="U51" s="8" t="inlineStr"/>
    </row>
    <row r="52">
      <c r="A52" s="2" t="inlineStr">
        <is>
          <t>S020102020200</t>
        </is>
      </c>
      <c r="B52" s="3" t="inlineStr">
        <is>
          <t>2.2.2.2中期借贷便利（MLF）</t>
        </is>
      </c>
      <c r="C52" s="4" t="inlineStr">
        <is>
          <t>是</t>
        </is>
      </c>
      <c r="D52" s="9" t="n">
        <v>160370000000</v>
      </c>
      <c r="E52" s="4" t="inlineStr">
        <is>
          <t>liab</t>
        </is>
      </c>
      <c r="F52" s="4" t="inlineStr">
        <is>
          <t>MLF</t>
        </is>
      </c>
      <c r="G52" s="10" t="n">
        <v>2</v>
      </c>
      <c r="H52" s="7">
        <f>D52/(1+0.03)^G52</f>
        <v/>
      </c>
      <c r="I52" s="7">
        <f>D52/(1+0.05)^G52</f>
        <v/>
      </c>
      <c r="J52" s="7">
        <f>H52-I52</f>
        <v/>
      </c>
      <c r="K52" s="7">
        <f>D52/(1+0.02)^G52</f>
        <v/>
      </c>
      <c r="L52" s="7">
        <f>H52-K52</f>
        <v/>
      </c>
      <c r="M52" s="7">
        <f>IF(G52&lt;1,D52/(1+0.05)^G52,D52/(1+0.04)^G52)</f>
        <v/>
      </c>
      <c r="N52" s="7">
        <f>H52-M52</f>
        <v/>
      </c>
      <c r="O52" s="7">
        <f>IF(G52&lt;1,D52/(1+0.02)^G52,D52/(1+0.025)^G52)</f>
        <v/>
      </c>
      <c r="P52" s="7">
        <f>H52-O52</f>
        <v/>
      </c>
      <c r="Q52" s="7">
        <f>IF(G52&lt;1,D52/(1+0.02)^G52,D52/(1+0.04)^G52)</f>
        <v/>
      </c>
      <c r="R52" s="7">
        <f>H52-Q52</f>
        <v/>
      </c>
      <c r="S52" s="7">
        <f>IF(G52&lt;1,D52/(1+0.04)^G52,D52/(1+0.02)^G52)</f>
        <v/>
      </c>
      <c r="T52" s="7">
        <f>H52-S52</f>
        <v/>
      </c>
      <c r="U52" s="8" t="inlineStr"/>
    </row>
    <row r="53">
      <c r="A53" s="2" t="inlineStr">
        <is>
          <t>S020102020300</t>
        </is>
      </c>
      <c r="B53" s="3" t="inlineStr">
        <is>
          <t>2.2.2.3结构性货币政策工具</t>
        </is>
      </c>
      <c r="C53" s="4" t="inlineStr">
        <is>
          <t>是</t>
        </is>
      </c>
      <c r="D53" s="9" t="n">
        <v>42212093203.19</v>
      </c>
      <c r="E53" s="4" t="inlineStr">
        <is>
          <t>liab</t>
        </is>
      </c>
      <c r="F53" s="4" t="inlineStr">
        <is>
          <t>结构性</t>
        </is>
      </c>
      <c r="G53" s="10" t="n">
        <v>2</v>
      </c>
      <c r="H53" s="7">
        <f>D53/(1+0.03)^G53</f>
        <v/>
      </c>
      <c r="I53" s="7">
        <f>D53/(1+0.05)^G53</f>
        <v/>
      </c>
      <c r="J53" s="7">
        <f>H53-I53</f>
        <v/>
      </c>
      <c r="K53" s="7">
        <f>D53/(1+0.02)^G53</f>
        <v/>
      </c>
      <c r="L53" s="7">
        <f>H53-K53</f>
        <v/>
      </c>
      <c r="M53" s="7">
        <f>IF(G53&lt;1,D53/(1+0.05)^G53,D53/(1+0.04)^G53)</f>
        <v/>
      </c>
      <c r="N53" s="7">
        <f>H53-M53</f>
        <v/>
      </c>
      <c r="O53" s="7">
        <f>IF(G53&lt;1,D53/(1+0.02)^G53,D53/(1+0.025)^G53)</f>
        <v/>
      </c>
      <c r="P53" s="7">
        <f>H53-O53</f>
        <v/>
      </c>
      <c r="Q53" s="7">
        <f>IF(G53&lt;1,D53/(1+0.02)^G53,D53/(1+0.04)^G53)</f>
        <v/>
      </c>
      <c r="R53" s="7">
        <f>H53-Q53</f>
        <v/>
      </c>
      <c r="S53" s="7">
        <f>IF(G53&lt;1,D53/(1+0.04)^G53,D53/(1+0.02)^G53)</f>
        <v/>
      </c>
      <c r="T53" s="7">
        <f>H53-S53</f>
        <v/>
      </c>
      <c r="U53" s="8" t="inlineStr"/>
    </row>
    <row r="54">
      <c r="A54" s="2" t="inlineStr">
        <is>
          <t>S020102020400</t>
        </is>
      </c>
      <c r="B54" s="3" t="inlineStr">
        <is>
          <t>2.2.2.4票据再贴现回购</t>
        </is>
      </c>
      <c r="C54" s="4" t="inlineStr">
        <is>
          <t>是</t>
        </is>
      </c>
      <c r="D54" s="9" t="n">
        <v>1525214781.84</v>
      </c>
      <c r="E54" s="4" t="inlineStr">
        <is>
          <t>liab</t>
        </is>
      </c>
      <c r="F54" s="4" t="inlineStr">
        <is>
          <t>再贴现</t>
        </is>
      </c>
      <c r="G54" s="10" t="n">
        <v>0.05</v>
      </c>
      <c r="H54" s="7">
        <f>D54/(1+0.03)^G54</f>
        <v/>
      </c>
      <c r="I54" s="7">
        <f>D54/(1+0.05)^G54</f>
        <v/>
      </c>
      <c r="J54" s="7">
        <f>H54-I54</f>
        <v/>
      </c>
      <c r="K54" s="7">
        <f>D54/(1+0.02)^G54</f>
        <v/>
      </c>
      <c r="L54" s="7">
        <f>H54-K54</f>
        <v/>
      </c>
      <c r="M54" s="7">
        <f>IF(G54&lt;1,D54/(1+0.05)^G54,D54/(1+0.04)^G54)</f>
        <v/>
      </c>
      <c r="N54" s="7">
        <f>H54-M54</f>
        <v/>
      </c>
      <c r="O54" s="7">
        <f>IF(G54&lt;1,D54/(1+0.02)^G54,D54/(1+0.025)^G54)</f>
        <v/>
      </c>
      <c r="P54" s="7">
        <f>H54-O54</f>
        <v/>
      </c>
      <c r="Q54" s="7">
        <f>IF(G54&lt;1,D54/(1+0.02)^G54,D54/(1+0.04)^G54)</f>
        <v/>
      </c>
      <c r="R54" s="7">
        <f>H54-Q54</f>
        <v/>
      </c>
      <c r="S54" s="7">
        <f>IF(G54&lt;1,D54/(1+0.04)^G54,D54/(1+0.02)^G54)</f>
        <v/>
      </c>
      <c r="T54" s="7">
        <f>H54-S54</f>
        <v/>
      </c>
      <c r="U54" s="8" t="inlineStr"/>
    </row>
    <row r="55">
      <c r="A55" s="2" t="inlineStr">
        <is>
          <t>S020200000000</t>
        </is>
      </c>
      <c r="B55" s="3" t="inlineStr">
        <is>
          <t>（二）外币小计（美元）</t>
        </is>
      </c>
      <c r="C55" s="4" t="inlineStr">
        <is>
          <t>否</t>
        </is>
      </c>
      <c r="D55" s="5" t="n"/>
      <c r="E55" s="4" t="inlineStr">
        <is>
          <t>汇总</t>
        </is>
      </c>
      <c r="F55" s="6" t="n"/>
      <c r="G55" s="5" t="n"/>
      <c r="H55" s="7">
        <f>D55/(1+0.03)^G55</f>
        <v/>
      </c>
      <c r="I55" s="7">
        <f>D55/(1+0.05)^G55</f>
        <v/>
      </c>
      <c r="J55" s="7">
        <f>H55-I55</f>
        <v/>
      </c>
      <c r="K55" s="7">
        <f>D55/(1+0.02)^G55</f>
        <v/>
      </c>
      <c r="L55" s="7">
        <f>H55-K55</f>
        <v/>
      </c>
      <c r="M55" s="7">
        <f>IF(G55&lt;1,D55/(1+0.05)^G55,D55/(1+0.04)^G55)</f>
        <v/>
      </c>
      <c r="N55" s="7">
        <f>H55-M55</f>
        <v/>
      </c>
      <c r="O55" s="7">
        <f>IF(G55&lt;1,D55/(1+0.02)^G55,D55/(1+0.025)^G55)</f>
        <v/>
      </c>
      <c r="P55" s="7">
        <f>H55-O55</f>
        <v/>
      </c>
      <c r="Q55" s="7">
        <f>IF(G55&lt;1,D55/(1+0.02)^G55,D55/(1+0.04)^G55)</f>
        <v/>
      </c>
      <c r="R55" s="7">
        <f>H55-Q55</f>
        <v/>
      </c>
      <c r="S55" s="7">
        <f>IF(G55&lt;1,D55/(1+0.04)^G55,D55/(1+0.02)^G55)</f>
        <v/>
      </c>
      <c r="T55" s="7">
        <f>H55-S55</f>
        <v/>
      </c>
      <c r="U55" s="8" t="inlineStr">
        <is>
          <t>汇总节点不参与 EVE 计算</t>
        </is>
      </c>
    </row>
    <row r="56">
      <c r="A56" s="2" t="inlineStr">
        <is>
          <t>S020201000000</t>
        </is>
      </c>
      <c r="B56" s="3" t="inlineStr">
        <is>
          <t>1.外币存款</t>
        </is>
      </c>
      <c r="C56" s="4" t="inlineStr">
        <is>
          <t>是</t>
        </is>
      </c>
      <c r="D56" s="9" t="n">
        <v>150000000000</v>
      </c>
      <c r="E56" s="4" t="inlineStr">
        <is>
          <t>liab</t>
        </is>
      </c>
      <c r="F56" s="4" t="inlineStr">
        <is>
          <t>外币</t>
        </is>
      </c>
      <c r="G56" s="10" t="n">
        <v>1.5</v>
      </c>
      <c r="H56" s="7">
        <f>D56/(1+0.03)^G56</f>
        <v/>
      </c>
      <c r="I56" s="7">
        <f>D56/(1+0.05)^G56</f>
        <v/>
      </c>
      <c r="J56" s="7">
        <f>H56-I56</f>
        <v/>
      </c>
      <c r="K56" s="7">
        <f>D56/(1+0.02)^G56</f>
        <v/>
      </c>
      <c r="L56" s="7">
        <f>H56-K56</f>
        <v/>
      </c>
      <c r="M56" s="7">
        <f>IF(G56&lt;1,D56/(1+0.05)^G56,D56/(1+0.04)^G56)</f>
        <v/>
      </c>
      <c r="N56" s="7">
        <f>H56-M56</f>
        <v/>
      </c>
      <c r="O56" s="7">
        <f>IF(G56&lt;1,D56/(1+0.02)^G56,D56/(1+0.025)^G56)</f>
        <v/>
      </c>
      <c r="P56" s="7">
        <f>H56-O56</f>
        <v/>
      </c>
      <c r="Q56" s="7">
        <f>IF(G56&lt;1,D56/(1+0.02)^G56,D56/(1+0.04)^G56)</f>
        <v/>
      </c>
      <c r="R56" s="7">
        <f>H56-Q56</f>
        <v/>
      </c>
      <c r="S56" s="7">
        <f>IF(G56&lt;1,D56/(1+0.04)^G56,D56/(1+0.02)^G56)</f>
        <v/>
      </c>
      <c r="T56" s="7">
        <f>H56-S56</f>
        <v/>
      </c>
      <c r="U56" s="8" t="inlineStr"/>
    </row>
    <row r="57">
      <c r="A57" s="2" t="inlineStr">
        <is>
          <t>S020202000000</t>
        </is>
      </c>
      <c r="B57" s="3" t="inlineStr">
        <is>
          <t>2.外币市场化负债</t>
        </is>
      </c>
      <c r="C57" s="4" t="inlineStr">
        <is>
          <t>是</t>
        </is>
      </c>
      <c r="D57" s="9" t="n">
        <v>80000000000</v>
      </c>
      <c r="E57" s="4" t="inlineStr">
        <is>
          <t>liab</t>
        </is>
      </c>
      <c r="F57" s="4" t="inlineStr">
        <is>
          <t>外币</t>
        </is>
      </c>
      <c r="G57" s="10" t="n">
        <v>0.5</v>
      </c>
      <c r="H57" s="7">
        <f>D57/(1+0.03)^G57</f>
        <v/>
      </c>
      <c r="I57" s="7">
        <f>D57/(1+0.05)^G57</f>
        <v/>
      </c>
      <c r="J57" s="7">
        <f>H57-I57</f>
        <v/>
      </c>
      <c r="K57" s="7">
        <f>D57/(1+0.02)^G57</f>
        <v/>
      </c>
      <c r="L57" s="7">
        <f>H57-K57</f>
        <v/>
      </c>
      <c r="M57" s="7">
        <f>IF(G57&lt;1,D57/(1+0.05)^G57,D57/(1+0.04)^G57)</f>
        <v/>
      </c>
      <c r="N57" s="7">
        <f>H57-M57</f>
        <v/>
      </c>
      <c r="O57" s="7">
        <f>IF(G57&lt;1,D57/(1+0.02)^G57,D57/(1+0.025)^G57)</f>
        <v/>
      </c>
      <c r="P57" s="7">
        <f>H57-O57</f>
        <v/>
      </c>
      <c r="Q57" s="7">
        <f>IF(G57&lt;1,D57/(1+0.02)^G57,D57/(1+0.04)^G57)</f>
        <v/>
      </c>
      <c r="R57" s="7">
        <f>H57-Q57</f>
        <v/>
      </c>
      <c r="S57" s="7">
        <f>IF(G57&lt;1,D57/(1+0.04)^G57,D57/(1+0.02)^G57)</f>
        <v/>
      </c>
      <c r="T57" s="7">
        <f>H57-S57</f>
        <v/>
      </c>
      <c r="U57" s="8" t="inlineStr"/>
    </row>
    <row r="58">
      <c r="A58" s="2" t="inlineStr">
        <is>
          <t>S030000000000</t>
        </is>
      </c>
      <c r="B58" s="3" t="inlineStr">
        <is>
          <t>所有者权益</t>
        </is>
      </c>
      <c r="C58" s="4" t="inlineStr">
        <is>
          <t>是</t>
        </is>
      </c>
      <c r="D58" s="9" t="n">
        <v>786217000000</v>
      </c>
      <c r="E58" s="4" t="inlineStr">
        <is>
          <t>equity</t>
        </is>
      </c>
      <c r="F58" s="4" t="inlineStr">
        <is>
          <t>永久</t>
        </is>
      </c>
      <c r="G58" s="10" t="n">
        <v>0</v>
      </c>
      <c r="H58" s="7">
        <f>D58/(1+0.03)^G58</f>
        <v/>
      </c>
      <c r="I58" s="7">
        <f>D58/(1+0.05)^G58</f>
        <v/>
      </c>
      <c r="J58" s="7">
        <f>H58-I58</f>
        <v/>
      </c>
      <c r="K58" s="7">
        <f>D58/(1+0.02)^G58</f>
        <v/>
      </c>
      <c r="L58" s="7">
        <f>H58-K58</f>
        <v/>
      </c>
      <c r="M58" s="7">
        <f>IF(G58&lt;1,D58/(1+0.05)^G58,D58/(1+0.04)^G58)</f>
        <v/>
      </c>
      <c r="N58" s="7">
        <f>H58-M58</f>
        <v/>
      </c>
      <c r="O58" s="7">
        <f>IF(G58&lt;1,D58/(1+0.02)^G58,D58/(1+0.025)^G58)</f>
        <v/>
      </c>
      <c r="P58" s="7">
        <f>H58-O58</f>
        <v/>
      </c>
      <c r="Q58" s="7">
        <f>IF(G58&lt;1,D58/(1+0.02)^G58,D58/(1+0.04)^G58)</f>
        <v/>
      </c>
      <c r="R58" s="7">
        <f>H58-Q58</f>
        <v/>
      </c>
      <c r="S58" s="7">
        <f>IF(G58&lt;1,D58/(1+0.04)^G58,D58/(1+0.02)^G58)</f>
        <v/>
      </c>
      <c r="T58" s="7">
        <f>H58-S58</f>
        <v/>
      </c>
      <c r="U58" s="8" t="inlineStr">
        <is>
          <t>所有者权益（不计入 EVE 现金流，单独作为 Tier 1）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</cols>
  <sheetData>
    <row r="1">
      <c r="A1" s="11" t="inlineStr">
        <is>
          <t>△EVE 经济价值变动（IRRBB 银行账户利率风险）</t>
        </is>
      </c>
    </row>
    <row r="2">
      <c r="A2" s="12" t="inlineStr">
        <is>
          <t>依据：巴塞尔 IRRBB（2016）+ 银保监会《商业银行银行账户利率风险管理办法》（2018）</t>
        </is>
      </c>
    </row>
    <row r="3">
      <c r="A3" s="12" t="inlineStr">
        <is>
          <t>基期利率 r₀ = 3.0%</t>
        </is>
      </c>
    </row>
    <row r="4">
      <c r="A4" s="12" t="inlineStr">
        <is>
          <t>注：3.2 拆分为 3.2.1 现金（久期 0.05）和 3.2.2 其它（久期 0.25）</t>
        </is>
      </c>
    </row>
    <row r="6">
      <c r="A6" t="inlineStr">
        <is>
          <t>Tier 1 一级资本（所有者权益）</t>
        </is>
      </c>
      <c r="B6" s="13" t="n">
        <v>786217000000</v>
      </c>
    </row>
    <row r="7">
      <c r="A7" t="inlineStr">
        <is>
          <t>资产合计（仅末级映射）</t>
        </is>
      </c>
      <c r="B7" s="13">
        <f>SUMIFS(EVE项目明细!D:D,EVE项目明细!E:E,"asset",EVE项目明细!C:C,"是")</f>
        <v/>
      </c>
    </row>
    <row r="8">
      <c r="A8" t="inlineStr">
        <is>
          <t>负债合计（仅末级映射）</t>
        </is>
      </c>
      <c r="B8" s="13">
        <f>SUMIFS(EVE项目明细!D:D,EVE项目明细!E:E,"liab",EVE项目明细!C:C,"是")</f>
        <v/>
      </c>
    </row>
    <row r="9">
      <c r="A9" t="inlineStr">
        <is>
          <t>资产加权久期 D_A（按余额加权）</t>
        </is>
      </c>
      <c r="B9" s="14">
        <f>SUMPRODUCT((EVE项目明细!E2:E58="asset")*(EVE项目明细!C2:C58="是")*(EVE项目明细!G2:G58)*(EVE项目明细!D2:D58))/B7</f>
        <v/>
      </c>
    </row>
    <row r="10">
      <c r="A10" t="inlineStr">
        <is>
          <t>负债加权久期 D_L（按余额加权）</t>
        </is>
      </c>
      <c r="B10" s="14">
        <f>SUMPRODUCT((EVE项目明细!E2:E58="liab")*(EVE项目明细!C2:C58="是")*(EVE项目明细!G2:G58)*(EVE项目明细!D2:D58))/B8</f>
        <v/>
      </c>
    </row>
    <row r="13">
      <c r="A13" s="15" t="inlineStr">
        <is>
          <t>情景 1：平行向上 +200bp（基期 3% → 5%）</t>
        </is>
      </c>
    </row>
    <row r="14">
      <c r="A14" t="inlineStr">
        <is>
          <t xml:space="preserve">  资产 PV 减少（损失）</t>
        </is>
      </c>
      <c r="B14" s="13">
        <f>SUMIFS(EVE项目明细!J:J,EVE项目明细!E:E,"asset")</f>
        <v/>
      </c>
    </row>
    <row r="15">
      <c r="A15" t="inlineStr">
        <is>
          <t xml:space="preserve">  负债 PV 减少（利好）</t>
        </is>
      </c>
      <c r="B15" s="13">
        <f>SUMIFS(EVE项目明细!J:J,EVE项目明细!E:E,"liab")</f>
        <v/>
      </c>
    </row>
    <row r="16">
      <c r="A16" t="inlineStr">
        <is>
          <t xml:space="preserve">  △EVE（损失）</t>
        </is>
      </c>
      <c r="B16" s="13">
        <f>B14-B15</f>
        <v/>
      </c>
    </row>
    <row r="17">
      <c r="A17" t="inlineStr">
        <is>
          <t xml:space="preserve">  △EVE / Tier 1 资本</t>
        </is>
      </c>
      <c r="B17" s="16">
        <f>B16/B6*100</f>
        <v/>
      </c>
    </row>
    <row r="19">
      <c r="A19" s="15" t="inlineStr">
        <is>
          <t>情景 2：平行向下 -100bp（基期 3% → 2%）</t>
        </is>
      </c>
    </row>
    <row r="20">
      <c r="A20" t="inlineStr">
        <is>
          <t xml:space="preserve">  资产 PV 减少（损失）</t>
        </is>
      </c>
      <c r="B20" s="13">
        <f>SUMIFS(EVE项目明细!L:L,EVE项目明细!E:E,"asset")</f>
        <v/>
      </c>
    </row>
    <row r="21">
      <c r="A21" t="inlineStr">
        <is>
          <t xml:space="preserve">  负债 PV 减少（利好）</t>
        </is>
      </c>
      <c r="B21" s="13">
        <f>SUMIFS(EVE项目明细!L:L,EVE项目明细!E:E,"liab")</f>
        <v/>
      </c>
    </row>
    <row r="22">
      <c r="A22" t="inlineStr">
        <is>
          <t xml:space="preserve">  △EVE（损失）</t>
        </is>
      </c>
      <c r="B22" s="13">
        <f>B20-B21</f>
        <v/>
      </c>
    </row>
    <row r="23">
      <c r="A23" t="inlineStr">
        <is>
          <t xml:space="preserve">  △EVE / Tier 1 资本</t>
        </is>
      </c>
      <c r="B23" s="16">
        <f>B22/B6*100</f>
        <v/>
      </c>
    </row>
    <row r="25">
      <c r="A25" s="15" t="inlineStr">
        <is>
          <t>情景 3：短端向上 +250bp（t&lt;1）/ +100bp（t≥1）</t>
        </is>
      </c>
    </row>
    <row r="26">
      <c r="A26" t="inlineStr">
        <is>
          <t xml:space="preserve">  资产 PV 减少（损失）</t>
        </is>
      </c>
      <c r="B26" s="13">
        <f>SUMIFS(EVE项目明细!N:N,EVE项目明细!E:E,"asset")</f>
        <v/>
      </c>
    </row>
    <row r="27">
      <c r="A27" t="inlineStr">
        <is>
          <t xml:space="preserve">  负债 PV 减少（利好）</t>
        </is>
      </c>
      <c r="B27" s="13">
        <f>SUMIFS(EVE项目明细!N:N,EVE项目明细!E:E,"liab")</f>
        <v/>
      </c>
    </row>
    <row r="28">
      <c r="A28" t="inlineStr">
        <is>
          <t xml:space="preserve">  △EVE（损失）</t>
        </is>
      </c>
      <c r="B28" s="13">
        <f>B26-B27</f>
        <v/>
      </c>
    </row>
    <row r="29">
      <c r="A29" t="inlineStr">
        <is>
          <t xml:space="preserve">  △EVE / Tier 1 资本</t>
        </is>
      </c>
      <c r="B29" s="16">
        <f>B28/B6*100</f>
        <v/>
      </c>
    </row>
    <row r="31">
      <c r="A31" s="15" t="inlineStr">
        <is>
          <t>情景 4：短端向下 -100bp（t&lt;1）/ -50bp（t≥1）</t>
        </is>
      </c>
    </row>
    <row r="32">
      <c r="A32" t="inlineStr">
        <is>
          <t xml:space="preserve">  资产 PV 减少（损失）</t>
        </is>
      </c>
      <c r="B32" s="13">
        <f>SUMIFS(EVE项目明细!P:P,EVE项目明细!E:E,"asset")</f>
        <v/>
      </c>
    </row>
    <row r="33">
      <c r="A33" t="inlineStr">
        <is>
          <t xml:space="preserve">  负债 PV 减少（利好）</t>
        </is>
      </c>
      <c r="B33" s="13">
        <f>SUMIFS(EVE项目明细!P:P,EVE项目明细!E:E,"liab")</f>
        <v/>
      </c>
    </row>
    <row r="34">
      <c r="A34" t="inlineStr">
        <is>
          <t xml:space="preserve">  △EVE（损失）</t>
        </is>
      </c>
      <c r="B34" s="13">
        <f>B32-B33</f>
        <v/>
      </c>
    </row>
    <row r="35">
      <c r="A35" t="inlineStr">
        <is>
          <t xml:space="preserve">  △EVE / Tier 1 资本</t>
        </is>
      </c>
      <c r="B35" s="16">
        <f>B34/B6*100</f>
        <v/>
      </c>
    </row>
    <row r="37">
      <c r="A37" s="15" t="inlineStr">
        <is>
          <t>情景 5：长端向上 -100bp（t&lt;1）/ +100bp（t≥1）</t>
        </is>
      </c>
    </row>
    <row r="38">
      <c r="A38" t="inlineStr">
        <is>
          <t xml:space="preserve">  资产 PV 减少（损失）</t>
        </is>
      </c>
      <c r="B38" s="13">
        <f>SUMIFS(EVE项目明细!R:R,EVE项目明细!E:E,"asset")</f>
        <v/>
      </c>
    </row>
    <row r="39">
      <c r="A39" t="inlineStr">
        <is>
          <t xml:space="preserve">  负债 PV 减少（利好）</t>
        </is>
      </c>
      <c r="B39" s="13">
        <f>SUMIFS(EVE项目明细!R:R,EVE项目明细!E:E,"liab")</f>
        <v/>
      </c>
    </row>
    <row r="40">
      <c r="A40" t="inlineStr">
        <is>
          <t xml:space="preserve">  △EVE（损失）</t>
        </is>
      </c>
      <c r="B40" s="13">
        <f>B38-B39</f>
        <v/>
      </c>
    </row>
    <row r="41">
      <c r="A41" t="inlineStr">
        <is>
          <t xml:space="preserve">  △EVE / Tier 1 资本</t>
        </is>
      </c>
      <c r="B41" s="16">
        <f>B40/B6*100</f>
        <v/>
      </c>
    </row>
    <row r="43">
      <c r="A43" s="15" t="inlineStr">
        <is>
          <t>情景 6：长端向下 +100bp（t&lt;1）/ -100bp（t≥1）</t>
        </is>
      </c>
    </row>
    <row r="44">
      <c r="A44" t="inlineStr">
        <is>
          <t xml:space="preserve">  资产 PV 减少（损失）</t>
        </is>
      </c>
      <c r="B44" s="13">
        <f>SUMIFS(EVE项目明细!T:T,EVE项目明细!E:E,"asset")</f>
        <v/>
      </c>
    </row>
    <row r="45">
      <c r="A45" t="inlineStr">
        <is>
          <t xml:space="preserve">  负债 PV 减少（利好）</t>
        </is>
      </c>
      <c r="B45" s="13">
        <f>SUMIFS(EVE项目明细!T:T,EVE项目明细!E:E,"liab")</f>
        <v/>
      </c>
    </row>
    <row r="46">
      <c r="A46" t="inlineStr">
        <is>
          <t xml:space="preserve">  △EVE（损失）</t>
        </is>
      </c>
      <c r="B46" s="13">
        <f>B44-B45</f>
        <v/>
      </c>
    </row>
    <row r="47">
      <c r="A47" t="inlineStr">
        <is>
          <t xml:space="preserve">  △EVE / Tier 1 资本</t>
        </is>
      </c>
      <c r="B47" s="16">
        <f>B46/B6*100</f>
        <v/>
      </c>
    </row>
    <row r="50">
      <c r="A50" s="15" t="inlineStr">
        <is>
          <t>【最不利情景 △EVE】</t>
        </is>
      </c>
    </row>
    <row r="51">
      <c r="A51" t="inlineStr">
        <is>
          <t xml:space="preserve">  最大损失 △EVE（6 情景中最不利）</t>
        </is>
      </c>
      <c r="B51" s="13">
        <f>MAX(B16,B22,B28,B34,B40,B46)</f>
        <v/>
      </c>
    </row>
    <row r="52">
      <c r="A52" t="inlineStr">
        <is>
          <t xml:space="preserve">  △EVE / Tier 1 资本</t>
        </is>
      </c>
      <c r="B52" s="16">
        <f>B51/B6*100</f>
        <v/>
      </c>
    </row>
    <row r="54">
      <c r="A54" t="inlineStr">
        <is>
          <t xml:space="preserve">  监管阈值（银保监会 §13）</t>
        </is>
      </c>
      <c r="B54" s="17" t="n">
        <v>0.15</v>
      </c>
    </row>
    <row r="55">
      <c r="A55" t="inlineStr">
        <is>
          <t xml:space="preserve">  是否达标（≤ 15%）</t>
        </is>
      </c>
      <c r="B55" s="18">
        <f>IF(B52/100&lt;=B54,"达标","不达标")</f>
        <v/>
      </c>
    </row>
  </sheetData>
  <mergeCells count="11">
    <mergeCell ref="A4:B4"/>
    <mergeCell ref="A2:B2"/>
    <mergeCell ref="A25:B25"/>
    <mergeCell ref="A43:B43"/>
    <mergeCell ref="A19:B19"/>
    <mergeCell ref="A37:B37"/>
    <mergeCell ref="A13:B13"/>
    <mergeCell ref="A1:B1"/>
    <mergeCell ref="A31:B31"/>
    <mergeCell ref="A3:B3"/>
    <mergeCell ref="A50:B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2026-09-29T08:53:25Z</dcterms:created>
  <dcterms:modified xmlns:dcterms="http://purl.org/dc/terms/" xmlns:xsi="http://www.w3.org/2001/XMLSchema-instance" xsi:type="dcterms:W3CDTF">2026-09-29T08:53:25Z</dcterms:modified>
</cp:coreProperties>
</file>