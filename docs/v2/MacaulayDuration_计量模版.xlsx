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折现数据源" sheetId="1" state="visible" r:id="rId1"/>
    <sheet name="麦考林久期计算表" sheetId="2" state="visible" r:id="rId2"/>
    <sheet name="久期缺口与敏感性" sheetId="3" state="visible" r:id="rId3"/>
    <sheet name="期限分布分析" sheetId="4" state="visible" r:id="rId4"/>
    <sheet name="计算逻辑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"/>
    <numFmt numFmtId="166" formatCode="0.00000000"/>
    <numFmt numFmtId="167" formatCode="#,##0.0000"/>
    <numFmt numFmtId="168" formatCode="+0.0000;-0.0000;0"/>
  </numFmts>
  <fonts count="22">
    <font>
      <name val="Calibri"/>
      <family val="2"/>
      <color theme="1"/>
      <sz val="11"/>
      <scheme val="minor"/>
    </font>
    <font>
      <name val="微软雅黑"/>
      <b val="1"/>
      <color rgb="00C7000B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  <font>
      <name val="微软雅黑"/>
      <color rgb="001B5E20"/>
      <sz val="9"/>
    </font>
    <font>
      <name val="微软雅黑"/>
      <color rgb="006A1B9A"/>
      <sz val="9"/>
    </font>
    <font>
      <name val="微软雅黑"/>
      <color rgb="001B5E20"/>
      <sz val="8"/>
    </font>
    <font>
      <name val="微软雅黑"/>
      <b val="1"/>
      <color rgb="00C7000B"/>
      <sz val="9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color rgb="006A1B9A"/>
      <sz val="10"/>
    </font>
    <font>
      <name val="微软雅黑"/>
      <b val="1"/>
      <color rgb="001565C0"/>
      <sz val="10"/>
    </font>
    <font>
      <name val="微软雅黑"/>
      <b val="1"/>
      <color rgb="00E65100"/>
      <sz val="10"/>
    </font>
    <font>
      <name val="微软雅黑"/>
      <b val="1"/>
      <color rgb="00616161"/>
      <sz val="10"/>
    </font>
    <font>
      <name val="微软雅黑"/>
      <b val="1"/>
      <color rgb="00C7000B"/>
      <sz val="10"/>
    </font>
    <font>
      <name val="微软雅黑"/>
      <b val="1"/>
      <sz val="10"/>
    </font>
    <font>
      <name val="微软雅黑"/>
      <sz val="10"/>
    </font>
    <font>
      <name val="微软雅黑"/>
      <color rgb="006A1B9A"/>
      <sz val="10"/>
    </font>
    <font>
      <name val="微软雅黑"/>
      <b val="1"/>
      <color rgb="00C7000B"/>
      <sz val="12"/>
    </font>
    <font>
      <name val="微软雅黑"/>
      <b val="1"/>
      <color rgb="00C7000B"/>
      <sz val="11"/>
    </font>
  </fonts>
  <fills count="14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616161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C7000B"/>
      </patternFill>
    </fill>
    <fill>
      <patternFill patternType="solid">
        <fgColor rgb="00E3F2FD"/>
      </patternFill>
    </fill>
    <fill>
      <patternFill patternType="solid">
        <fgColor rgb="00ECEFF1"/>
      </patternFill>
    </fill>
    <fill>
      <patternFill patternType="solid">
        <fgColor rgb="00FFE082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/>
    </xf>
    <xf numFmtId="166" fontId="7" fillId="7" borderId="1" applyAlignment="1" pivotButton="0" quotePrefix="0" xfId="0">
      <alignment horizontal="center"/>
    </xf>
    <xf numFmtId="167" fontId="8" fillId="6" borderId="1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center" vertical="center"/>
    </xf>
    <xf numFmtId="4" fontId="7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165" fontId="7" fillId="2" borderId="1" applyAlignment="1" pivotButton="0" quotePrefix="0" xfId="0">
      <alignment horizontal="center" vertical="center"/>
    </xf>
    <xf numFmtId="2" fontId="7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4" fontId="13" fillId="9" borderId="1" applyAlignment="1" pivotButton="0" quotePrefix="0" xfId="0">
      <alignment horizontal="center" vertical="center"/>
    </xf>
    <xf numFmtId="4" fontId="12" fillId="9" borderId="1" applyAlignment="1" pivotButton="0" quotePrefix="0" xfId="0">
      <alignment horizontal="center" vertical="center"/>
    </xf>
    <xf numFmtId="165" fontId="12" fillId="9" borderId="1" applyAlignment="1" pivotButton="0" quotePrefix="0" xfId="0">
      <alignment horizontal="center" vertical="center"/>
    </xf>
    <xf numFmtId="2" fontId="12" fillId="9" borderId="1" applyAlignment="1" pivotButton="0" quotePrefix="0" xfId="0">
      <alignment horizontal="center" vertical="center"/>
    </xf>
    <xf numFmtId="4" fontId="14" fillId="2" borderId="1" applyAlignment="1" pivotButton="0" quotePrefix="0" xfId="0">
      <alignment horizontal="center" vertical="center"/>
    </xf>
    <xf numFmtId="4" fontId="12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4" fontId="15" fillId="10" borderId="1" applyAlignment="1" pivotButton="0" quotePrefix="0" xfId="0">
      <alignment horizontal="center" vertical="center"/>
    </xf>
    <xf numFmtId="4" fontId="12" fillId="10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168" fontId="16" fillId="11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8" fontId="19" fillId="11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165" fontId="12" fillId="12" borderId="1" applyAlignment="1" pivotButton="0" quotePrefix="0" xfId="0">
      <alignment horizontal="center" vertical="center"/>
    </xf>
    <xf numFmtId="168" fontId="19" fillId="13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 vertical="top" indent="1"/>
    </xf>
    <xf numFmtId="0" fontId="18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30" customHeight="1">
      <c r="A1" s="1" t="inlineStr">
        <is>
          <t>折现数据源 (Discount Data Source) — 收益率曲线 + 折现因子 + 账户现金流</t>
        </is>
      </c>
    </row>
    <row r="2">
      <c r="A2" s="2" t="inlineStr">
        <is>
          <t>🟢 绿区 = 可编辑输入 (收益率/现金流)  |  🟣 紫区 = 自动计算 (折现因子)  |  修改此处，下游所有 sheet 自动联动</t>
        </is>
      </c>
    </row>
    <row r="3" ht="42" customHeight="1">
      <c r="A3" t="inlineStr">
        <is>
          <t>期限</t>
        </is>
      </c>
      <c r="B3" t="inlineStr">
        <is>
          <t>年数 (t)</t>
        </is>
      </c>
      <c r="C3" t="inlineStr">
        <is>
          <t>利率 r_t (%)</t>
        </is>
      </c>
      <c r="D3" t="inlineStr">
        <is>
          <t>折现因子 DF_t = 1/(1+r/100)^t</t>
        </is>
      </c>
      <c r="E3" s="3" t="inlineStr">
        <is>
          <t>000000
1.1. 对公一般贷款
(资产)</t>
        </is>
      </c>
      <c r="F3" s="3" t="inlineStr">
        <is>
          <t>000000
1.2. 个人贷款
(资产)</t>
        </is>
      </c>
      <c r="G3" s="3" t="inlineStr">
        <is>
          <t>000000
1.3. 信用卡贷款
(资产)</t>
        </is>
      </c>
      <c r="H3" s="3" t="inlineStr">
        <is>
          <t>000000
1.4. 票据贴现
(资产)</t>
        </is>
      </c>
      <c r="I3" s="3" t="inlineStr">
        <is>
          <t>000000
1.5. 非银贷款
(资产)</t>
        </is>
      </c>
      <c r="J3" s="3" t="inlineStr">
        <is>
          <t>010100
2.1.1 金市自营债券
(资产)</t>
        </is>
      </c>
      <c r="K3" s="3" t="inlineStr">
        <is>
          <t>010200
2.1.2 司库债券
(资产)</t>
        </is>
      </c>
      <c r="L3" s="3" t="inlineStr">
        <is>
          <t>000000
2.2. 结构化融资
(资产)</t>
        </is>
      </c>
      <c r="M3" s="3" t="inlineStr">
        <is>
          <t>000000
2.3. 同业资产（不含
(资产)</t>
        </is>
      </c>
      <c r="N3" s="3" t="inlineStr">
        <is>
          <t>000000
2.4. 存款准备金
(资产)</t>
        </is>
      </c>
      <c r="O3" s="3" t="inlineStr">
        <is>
          <t>000000
3.1. FVTPL类资
(资产)</t>
        </is>
      </c>
      <c r="P3" s="3" t="inlineStr">
        <is>
          <t>000000
3.2. 其他非生息资产
(资产)</t>
        </is>
      </c>
      <c r="Q3" s="3" t="inlineStr">
        <is>
          <t>000000
1. 外币贷款
(资产)</t>
        </is>
      </c>
      <c r="R3" s="3" t="inlineStr">
        <is>
          <t>000000
2.1. 外币债券
(资产)</t>
        </is>
      </c>
      <c r="S3" s="3" t="inlineStr">
        <is>
          <t>000000
2.2. 同业资产
(资产)</t>
        </is>
      </c>
      <c r="T3" s="3" t="inlineStr">
        <is>
          <t>000000
3. 外币非生息资产
(资产)</t>
        </is>
      </c>
      <c r="U3" s="4" t="inlineStr">
        <is>
          <t>010100
1.1.1 对公活期存款
(负债)</t>
        </is>
      </c>
      <c r="V3" s="4" t="inlineStr">
        <is>
          <t>010200
1.1.2 对公定期存款
(负债)</t>
        </is>
      </c>
      <c r="W3" s="4" t="inlineStr">
        <is>
          <t>020100
1.2.1 零售活期存款
(负债)</t>
        </is>
      </c>
      <c r="X3" s="4" t="inlineStr">
        <is>
          <t>020200
1.2.2 零售定期存款
(负债)</t>
        </is>
      </c>
      <c r="Y3" s="4" t="inlineStr">
        <is>
          <t>000000
2. 人民币市场化负债
(负债)</t>
        </is>
      </c>
      <c r="Z3" s="4" t="inlineStr">
        <is>
          <t>000000
1. 外币存款
(负债)</t>
        </is>
      </c>
      <c r="AA3" s="4" t="inlineStr">
        <is>
          <t>000000
2. 外币市场化负债
(负债)</t>
        </is>
      </c>
      <c r="AB3" s="5" t="inlineStr">
        <is>
          <t>000000
所有者权益
(权益)</t>
        </is>
      </c>
    </row>
    <row r="4">
      <c r="A4" s="6" t="inlineStr">
        <is>
          <t>1M</t>
        </is>
      </c>
      <c r="B4" s="7" t="n">
        <v>0.083333</v>
      </c>
      <c r="C4" s="8" t="n">
        <v>1.27</v>
      </c>
      <c r="D4" s="9">
        <f>1/(1+C4/100)^B4</f>
        <v/>
      </c>
      <c r="E4" s="10" t="n">
        <v>1080.2713</v>
      </c>
      <c r="F4" s="10" t="n">
        <v>771.6224</v>
      </c>
      <c r="G4" s="10" t="n">
        <v>211.645</v>
      </c>
      <c r="H4" s="10" t="n">
        <v>141.0967</v>
      </c>
      <c r="I4" s="10" t="n">
        <v>220.4635</v>
      </c>
      <c r="J4" s="10" t="n">
        <v>661.3905999999999</v>
      </c>
      <c r="K4" s="10" t="n">
        <v>440.9271</v>
      </c>
      <c r="L4" s="10" t="n">
        <v>220.4635</v>
      </c>
      <c r="M4" s="10" t="n">
        <v>308.649</v>
      </c>
      <c r="N4" s="10" t="n">
        <v>132.2781</v>
      </c>
      <c r="O4" s="10" t="n">
        <v>132.2781</v>
      </c>
      <c r="P4" s="10" t="n">
        <v>88.1854</v>
      </c>
      <c r="Q4" s="10" t="n">
        <v>176.3708</v>
      </c>
      <c r="R4" s="10" t="n">
        <v>88.1854</v>
      </c>
      <c r="S4" s="10" t="n">
        <v>44.0927</v>
      </c>
      <c r="T4" s="10" t="n">
        <v>44.0927</v>
      </c>
      <c r="U4" s="10" t="n">
        <v>13000</v>
      </c>
      <c r="V4" s="10" t="n">
        <v>3883.7768</v>
      </c>
      <c r="W4" s="10" t="n">
        <v>6000</v>
      </c>
      <c r="X4" s="10" t="n">
        <v>3530.7061</v>
      </c>
      <c r="Y4" s="10" t="n">
        <v>2118.4237</v>
      </c>
      <c r="Z4" s="10" t="n">
        <v>706.1412</v>
      </c>
      <c r="AA4" s="10" t="n">
        <v>353.0706</v>
      </c>
      <c r="AB4" s="10" t="n">
        <v>0</v>
      </c>
    </row>
    <row r="5">
      <c r="A5" s="6" t="inlineStr">
        <is>
          <t>2M</t>
        </is>
      </c>
      <c r="B5" s="7" t="n">
        <v>0.166667</v>
      </c>
      <c r="C5" s="8" t="n">
        <v>1.27</v>
      </c>
      <c r="D5" s="9">
        <f>1/(1+C5/100)^B5</f>
        <v/>
      </c>
      <c r="E5" s="10" t="n">
        <v>1080.2713</v>
      </c>
      <c r="F5" s="10" t="n">
        <v>771.6224</v>
      </c>
      <c r="G5" s="10" t="n">
        <v>211.645</v>
      </c>
      <c r="H5" s="10" t="n">
        <v>141.0967</v>
      </c>
      <c r="I5" s="10" t="n">
        <v>220.4635</v>
      </c>
      <c r="J5" s="10" t="n">
        <v>661.3905999999999</v>
      </c>
      <c r="K5" s="10" t="n">
        <v>440.9271</v>
      </c>
      <c r="L5" s="10" t="n">
        <v>220.4635</v>
      </c>
      <c r="M5" s="10" t="n">
        <v>308.649</v>
      </c>
      <c r="N5" s="10" t="n">
        <v>132.2781</v>
      </c>
      <c r="O5" s="10" t="n">
        <v>132.2781</v>
      </c>
      <c r="P5" s="10" t="n">
        <v>88.1854</v>
      </c>
      <c r="Q5" s="10" t="n">
        <v>176.3708</v>
      </c>
      <c r="R5" s="10" t="n">
        <v>88.1854</v>
      </c>
      <c r="S5" s="10" t="n">
        <v>44.0927</v>
      </c>
      <c r="T5" s="10" t="n">
        <v>44.0927</v>
      </c>
      <c r="U5" s="10" t="n">
        <v>7800</v>
      </c>
      <c r="V5" s="10" t="n">
        <v>3883.7768</v>
      </c>
      <c r="W5" s="10" t="n">
        <v>3600</v>
      </c>
      <c r="X5" s="10" t="n">
        <v>3530.7061</v>
      </c>
      <c r="Y5" s="10" t="n">
        <v>2118.4237</v>
      </c>
      <c r="Z5" s="10" t="n">
        <v>706.1412</v>
      </c>
      <c r="AA5" s="10" t="n">
        <v>353.0706</v>
      </c>
      <c r="AB5" s="10" t="n">
        <v>0</v>
      </c>
    </row>
    <row r="6">
      <c r="A6" s="6" t="inlineStr">
        <is>
          <t>3M</t>
        </is>
      </c>
      <c r="B6" s="7" t="n">
        <v>0.25</v>
      </c>
      <c r="C6" s="8" t="n">
        <v>1.27</v>
      </c>
      <c r="D6" s="9">
        <f>1/(1+C6/100)^B6</f>
        <v/>
      </c>
      <c r="E6" s="10" t="n">
        <v>1080.2713</v>
      </c>
      <c r="F6" s="10" t="n">
        <v>771.6224</v>
      </c>
      <c r="G6" s="10" t="n">
        <v>211.645</v>
      </c>
      <c r="H6" s="10" t="n">
        <v>141.0967</v>
      </c>
      <c r="I6" s="10" t="n">
        <v>220.4635</v>
      </c>
      <c r="J6" s="10" t="n">
        <v>661.3905999999999</v>
      </c>
      <c r="K6" s="10" t="n">
        <v>440.9271</v>
      </c>
      <c r="L6" s="10" t="n">
        <v>220.4635</v>
      </c>
      <c r="M6" s="10" t="n">
        <v>308.649</v>
      </c>
      <c r="N6" s="10" t="n">
        <v>132.2781</v>
      </c>
      <c r="O6" s="10" t="n">
        <v>132.2781</v>
      </c>
      <c r="P6" s="10" t="n">
        <v>88.1854</v>
      </c>
      <c r="Q6" s="10" t="n">
        <v>176.3708</v>
      </c>
      <c r="R6" s="10" t="n">
        <v>88.1854</v>
      </c>
      <c r="S6" s="10" t="n">
        <v>44.0927</v>
      </c>
      <c r="T6" s="10" t="n">
        <v>44.0927</v>
      </c>
      <c r="U6" s="10" t="n">
        <v>5200</v>
      </c>
      <c r="V6" s="10" t="n">
        <v>2587.7175</v>
      </c>
      <c r="W6" s="10" t="n">
        <v>2400</v>
      </c>
      <c r="X6" s="10" t="n">
        <v>2352.4705</v>
      </c>
      <c r="Y6" s="10" t="n">
        <v>1411.4823</v>
      </c>
      <c r="Z6" s="10" t="n">
        <v>470.4941</v>
      </c>
      <c r="AA6" s="10" t="n">
        <v>235.247</v>
      </c>
      <c r="AB6" s="10" t="n">
        <v>0</v>
      </c>
    </row>
    <row r="7">
      <c r="A7" s="6" t="inlineStr">
        <is>
          <t>4M</t>
        </is>
      </c>
      <c r="B7" s="7" t="n">
        <v>0.333333</v>
      </c>
      <c r="C7" s="8" t="n">
        <v>1.28</v>
      </c>
      <c r="D7" s="9">
        <f>1/(1+C7/100)^B7</f>
        <v/>
      </c>
      <c r="E7" s="10" t="n">
        <v>1080.2713</v>
      </c>
      <c r="F7" s="10" t="n">
        <v>771.6224</v>
      </c>
      <c r="G7" s="10" t="n">
        <v>211.645</v>
      </c>
      <c r="H7" s="10" t="n">
        <v>141.0967</v>
      </c>
      <c r="I7" s="10" t="n">
        <v>220.4635</v>
      </c>
      <c r="J7" s="10" t="n">
        <v>661.3905999999999</v>
      </c>
      <c r="K7" s="10" t="n">
        <v>440.9271</v>
      </c>
      <c r="L7" s="10" t="n">
        <v>220.4635</v>
      </c>
      <c r="M7" s="10" t="n">
        <v>308.649</v>
      </c>
      <c r="N7" s="10" t="n">
        <v>132.2781</v>
      </c>
      <c r="O7" s="10" t="n">
        <v>132.2781</v>
      </c>
      <c r="P7" s="10" t="n">
        <v>88.1854</v>
      </c>
      <c r="Q7" s="10" t="n">
        <v>176.3708</v>
      </c>
      <c r="R7" s="10" t="n">
        <v>88.1854</v>
      </c>
      <c r="S7" s="10" t="n">
        <v>44.0927</v>
      </c>
      <c r="T7" s="10" t="n">
        <v>44.0927</v>
      </c>
      <c r="U7" s="10" t="n">
        <v>0</v>
      </c>
      <c r="V7" s="10" t="n">
        <v>1293.8588</v>
      </c>
      <c r="W7" s="10" t="n">
        <v>0</v>
      </c>
      <c r="X7" s="10" t="n">
        <v>1176.2352</v>
      </c>
      <c r="Y7" s="10" t="n">
        <v>705.7411</v>
      </c>
      <c r="Z7" s="10" t="n">
        <v>235.247</v>
      </c>
      <c r="AA7" s="10" t="n">
        <v>117.6235</v>
      </c>
      <c r="AB7" s="10" t="n">
        <v>0</v>
      </c>
    </row>
    <row r="8">
      <c r="A8" s="6" t="inlineStr">
        <is>
          <t>5M</t>
        </is>
      </c>
      <c r="B8" s="7" t="n">
        <v>0.416667</v>
      </c>
      <c r="C8" s="8" t="n">
        <v>1.29</v>
      </c>
      <c r="D8" s="9">
        <f>1/(1+C8/100)^B8</f>
        <v/>
      </c>
      <c r="E8" s="10" t="n">
        <v>1080.2713</v>
      </c>
      <c r="F8" s="10" t="n">
        <v>771.6224</v>
      </c>
      <c r="G8" s="10" t="n">
        <v>211.645</v>
      </c>
      <c r="H8" s="10" t="n">
        <v>141.0967</v>
      </c>
      <c r="I8" s="10" t="n">
        <v>220.4635</v>
      </c>
      <c r="J8" s="10" t="n">
        <v>661.3905999999999</v>
      </c>
      <c r="K8" s="10" t="n">
        <v>440.9271</v>
      </c>
      <c r="L8" s="10" t="n">
        <v>220.4635</v>
      </c>
      <c r="M8" s="10" t="n">
        <v>308.649</v>
      </c>
      <c r="N8" s="10" t="n">
        <v>132.2781</v>
      </c>
      <c r="O8" s="10" t="n">
        <v>132.2781</v>
      </c>
      <c r="P8" s="10" t="n">
        <v>88.1854</v>
      </c>
      <c r="Q8" s="10" t="n">
        <v>176.3708</v>
      </c>
      <c r="R8" s="10" t="n">
        <v>88.1854</v>
      </c>
      <c r="S8" s="10" t="n">
        <v>44.0927</v>
      </c>
      <c r="T8" s="10" t="n">
        <v>44.0927</v>
      </c>
      <c r="U8" s="10" t="n">
        <v>0</v>
      </c>
      <c r="V8" s="10" t="n">
        <v>1293.8588</v>
      </c>
      <c r="W8" s="10" t="n">
        <v>0</v>
      </c>
      <c r="X8" s="10" t="n">
        <v>1176.2352</v>
      </c>
      <c r="Y8" s="10" t="n">
        <v>705.7411</v>
      </c>
      <c r="Z8" s="10" t="n">
        <v>235.247</v>
      </c>
      <c r="AA8" s="10" t="n">
        <v>117.6235</v>
      </c>
      <c r="AB8" s="10" t="n">
        <v>0</v>
      </c>
    </row>
    <row r="9">
      <c r="A9" s="6" t="inlineStr">
        <is>
          <t>6M</t>
        </is>
      </c>
      <c r="B9" s="7" t="n">
        <v>0.5</v>
      </c>
      <c r="C9" s="8" t="n">
        <v>1.3</v>
      </c>
      <c r="D9" s="9">
        <f>1/(1+C9/100)^B9</f>
        <v/>
      </c>
      <c r="E9" s="10" t="n">
        <v>1080.2713</v>
      </c>
      <c r="F9" s="10" t="n">
        <v>771.6224</v>
      </c>
      <c r="G9" s="10" t="n">
        <v>211.645</v>
      </c>
      <c r="H9" s="10" t="n">
        <v>141.0967</v>
      </c>
      <c r="I9" s="10" t="n">
        <v>220.4635</v>
      </c>
      <c r="J9" s="10" t="n">
        <v>661.3905999999999</v>
      </c>
      <c r="K9" s="10" t="n">
        <v>440.9271</v>
      </c>
      <c r="L9" s="10" t="n">
        <v>220.4635</v>
      </c>
      <c r="M9" s="10" t="n">
        <v>308.649</v>
      </c>
      <c r="N9" s="10" t="n">
        <v>132.2781</v>
      </c>
      <c r="O9" s="10" t="n">
        <v>132.2781</v>
      </c>
      <c r="P9" s="10" t="n">
        <v>88.1854</v>
      </c>
      <c r="Q9" s="10" t="n">
        <v>176.3708</v>
      </c>
      <c r="R9" s="10" t="n">
        <v>88.1854</v>
      </c>
      <c r="S9" s="10" t="n">
        <v>44.0927</v>
      </c>
      <c r="T9" s="10" t="n">
        <v>44.0927</v>
      </c>
      <c r="U9" s="10" t="n">
        <v>0</v>
      </c>
      <c r="V9" s="10" t="n">
        <v>1293.8588</v>
      </c>
      <c r="W9" s="10" t="n">
        <v>0</v>
      </c>
      <c r="X9" s="10" t="n">
        <v>1176.2352</v>
      </c>
      <c r="Y9" s="10" t="n">
        <v>705.7411</v>
      </c>
      <c r="Z9" s="10" t="n">
        <v>235.247</v>
      </c>
      <c r="AA9" s="10" t="n">
        <v>117.6235</v>
      </c>
      <c r="AB9" s="10" t="n">
        <v>0</v>
      </c>
    </row>
    <row r="10">
      <c r="A10" s="6" t="inlineStr">
        <is>
          <t>7M</t>
        </is>
      </c>
      <c r="B10" s="7" t="n">
        <v>0.583333</v>
      </c>
      <c r="C10" s="8" t="n">
        <v>1.31</v>
      </c>
      <c r="D10" s="9">
        <f>1/(1+C10/100)^B10</f>
        <v/>
      </c>
      <c r="E10" s="10" t="n">
        <v>1080.2713</v>
      </c>
      <c r="F10" s="10" t="n">
        <v>771.6224</v>
      </c>
      <c r="G10" s="10" t="n">
        <v>211.645</v>
      </c>
      <c r="H10" s="10" t="n">
        <v>141.0967</v>
      </c>
      <c r="I10" s="10" t="n">
        <v>220.4635</v>
      </c>
      <c r="J10" s="10" t="n">
        <v>661.3905999999999</v>
      </c>
      <c r="K10" s="10" t="n">
        <v>440.9271</v>
      </c>
      <c r="L10" s="10" t="n">
        <v>220.4635</v>
      </c>
      <c r="M10" s="10" t="n">
        <v>308.649</v>
      </c>
      <c r="N10" s="10" t="n">
        <v>132.2781</v>
      </c>
      <c r="O10" s="10" t="n">
        <v>132.2781</v>
      </c>
      <c r="P10" s="10" t="n">
        <v>88.1854</v>
      </c>
      <c r="Q10" s="10" t="n">
        <v>176.3708</v>
      </c>
      <c r="R10" s="10" t="n">
        <v>88.1854</v>
      </c>
      <c r="S10" s="10" t="n">
        <v>44.0927</v>
      </c>
      <c r="T10" s="10" t="n">
        <v>44.0927</v>
      </c>
      <c r="U10" s="10" t="n">
        <v>0</v>
      </c>
      <c r="V10" s="10" t="n">
        <v>1293.8588</v>
      </c>
      <c r="W10" s="10" t="n">
        <v>0</v>
      </c>
      <c r="X10" s="10" t="n">
        <v>1176.2352</v>
      </c>
      <c r="Y10" s="10" t="n">
        <v>705.7411</v>
      </c>
      <c r="Z10" s="10" t="n">
        <v>235.247</v>
      </c>
      <c r="AA10" s="10" t="n">
        <v>117.6235</v>
      </c>
      <c r="AB10" s="10" t="n">
        <v>0</v>
      </c>
    </row>
    <row r="11">
      <c r="A11" s="6" t="inlineStr">
        <is>
          <t>8M</t>
        </is>
      </c>
      <c r="B11" s="7" t="n">
        <v>0.666667</v>
      </c>
      <c r="C11" s="8" t="n">
        <v>1.315</v>
      </c>
      <c r="D11" s="9">
        <f>1/(1+C11/100)^B11</f>
        <v/>
      </c>
      <c r="E11" s="10" t="n">
        <v>1080.2713</v>
      </c>
      <c r="F11" s="10" t="n">
        <v>771.6224</v>
      </c>
      <c r="G11" s="10" t="n">
        <v>211.645</v>
      </c>
      <c r="H11" s="10" t="n">
        <v>141.0967</v>
      </c>
      <c r="I11" s="10" t="n">
        <v>220.4635</v>
      </c>
      <c r="J11" s="10" t="n">
        <v>661.3905999999999</v>
      </c>
      <c r="K11" s="10" t="n">
        <v>440.9271</v>
      </c>
      <c r="L11" s="10" t="n">
        <v>220.4635</v>
      </c>
      <c r="M11" s="10" t="n">
        <v>308.649</v>
      </c>
      <c r="N11" s="10" t="n">
        <v>132.2781</v>
      </c>
      <c r="O11" s="10" t="n">
        <v>132.2781</v>
      </c>
      <c r="P11" s="10" t="n">
        <v>88.1854</v>
      </c>
      <c r="Q11" s="10" t="n">
        <v>176.3708</v>
      </c>
      <c r="R11" s="10" t="n">
        <v>88.1854</v>
      </c>
      <c r="S11" s="10" t="n">
        <v>44.0927</v>
      </c>
      <c r="T11" s="10" t="n">
        <v>44.0927</v>
      </c>
      <c r="U11" s="10" t="n">
        <v>0</v>
      </c>
      <c r="V11" s="10" t="n">
        <v>1293.8588</v>
      </c>
      <c r="W11" s="10" t="n">
        <v>0</v>
      </c>
      <c r="X11" s="10" t="n">
        <v>1176.2352</v>
      </c>
      <c r="Y11" s="10" t="n">
        <v>705.7411</v>
      </c>
      <c r="Z11" s="10" t="n">
        <v>235.247</v>
      </c>
      <c r="AA11" s="10" t="n">
        <v>117.6235</v>
      </c>
      <c r="AB11" s="10" t="n">
        <v>0</v>
      </c>
    </row>
    <row r="12">
      <c r="A12" s="6" t="inlineStr">
        <is>
          <t>9M</t>
        </is>
      </c>
      <c r="B12" s="7" t="n">
        <v>0.75</v>
      </c>
      <c r="C12" s="8" t="n">
        <v>1.32</v>
      </c>
      <c r="D12" s="9">
        <f>1/(1+C12/100)^B12</f>
        <v/>
      </c>
      <c r="E12" s="10" t="n">
        <v>1080.2713</v>
      </c>
      <c r="F12" s="10" t="n">
        <v>771.6224</v>
      </c>
      <c r="G12" s="10" t="n">
        <v>211.645</v>
      </c>
      <c r="H12" s="10" t="n">
        <v>141.0967</v>
      </c>
      <c r="I12" s="10" t="n">
        <v>220.4635</v>
      </c>
      <c r="J12" s="10" t="n">
        <v>661.3905999999999</v>
      </c>
      <c r="K12" s="10" t="n">
        <v>440.9271</v>
      </c>
      <c r="L12" s="10" t="n">
        <v>220.4635</v>
      </c>
      <c r="M12" s="10" t="n">
        <v>308.649</v>
      </c>
      <c r="N12" s="10" t="n">
        <v>132.2781</v>
      </c>
      <c r="O12" s="10" t="n">
        <v>132.2781</v>
      </c>
      <c r="P12" s="10" t="n">
        <v>88.1854</v>
      </c>
      <c r="Q12" s="10" t="n">
        <v>176.3708</v>
      </c>
      <c r="R12" s="10" t="n">
        <v>88.1854</v>
      </c>
      <c r="S12" s="10" t="n">
        <v>44.0927</v>
      </c>
      <c r="T12" s="10" t="n">
        <v>44.0927</v>
      </c>
      <c r="U12" s="10" t="n">
        <v>0</v>
      </c>
      <c r="V12" s="10" t="n">
        <v>1293.8588</v>
      </c>
      <c r="W12" s="10" t="n">
        <v>0</v>
      </c>
      <c r="X12" s="10" t="n">
        <v>1176.2352</v>
      </c>
      <c r="Y12" s="10" t="n">
        <v>705.7411</v>
      </c>
      <c r="Z12" s="10" t="n">
        <v>235.247</v>
      </c>
      <c r="AA12" s="10" t="n">
        <v>117.6235</v>
      </c>
      <c r="AB12" s="10" t="n">
        <v>0</v>
      </c>
    </row>
    <row r="13">
      <c r="A13" s="6" t="inlineStr">
        <is>
          <t>10M</t>
        </is>
      </c>
      <c r="B13" s="7" t="n">
        <v>0.833333</v>
      </c>
      <c r="C13" s="8" t="n">
        <v>1.328</v>
      </c>
      <c r="D13" s="9">
        <f>1/(1+C13/100)^B13</f>
        <v/>
      </c>
      <c r="E13" s="10" t="n">
        <v>1080.2713</v>
      </c>
      <c r="F13" s="10" t="n">
        <v>771.6224</v>
      </c>
      <c r="G13" s="10" t="n">
        <v>211.645</v>
      </c>
      <c r="H13" s="10" t="n">
        <v>141.0967</v>
      </c>
      <c r="I13" s="10" t="n">
        <v>220.4635</v>
      </c>
      <c r="J13" s="10" t="n">
        <v>661.3905999999999</v>
      </c>
      <c r="K13" s="10" t="n">
        <v>440.9271</v>
      </c>
      <c r="L13" s="10" t="n">
        <v>220.4635</v>
      </c>
      <c r="M13" s="10" t="n">
        <v>308.649</v>
      </c>
      <c r="N13" s="10" t="n">
        <v>132.2781</v>
      </c>
      <c r="O13" s="10" t="n">
        <v>132.2781</v>
      </c>
      <c r="P13" s="10" t="n">
        <v>88.1854</v>
      </c>
      <c r="Q13" s="10" t="n">
        <v>176.3708</v>
      </c>
      <c r="R13" s="10" t="n">
        <v>88.1854</v>
      </c>
      <c r="S13" s="10" t="n">
        <v>44.0927</v>
      </c>
      <c r="T13" s="10" t="n">
        <v>44.0927</v>
      </c>
      <c r="U13" s="10" t="n">
        <v>0</v>
      </c>
      <c r="V13" s="10" t="n">
        <v>1293.8588</v>
      </c>
      <c r="W13" s="10" t="n">
        <v>0</v>
      </c>
      <c r="X13" s="10" t="n">
        <v>1176.2352</v>
      </c>
      <c r="Y13" s="10" t="n">
        <v>705.7411</v>
      </c>
      <c r="Z13" s="10" t="n">
        <v>235.247</v>
      </c>
      <c r="AA13" s="10" t="n">
        <v>117.6235</v>
      </c>
      <c r="AB13" s="10" t="n">
        <v>0</v>
      </c>
    </row>
    <row r="14">
      <c r="A14" s="6" t="inlineStr">
        <is>
          <t>11M</t>
        </is>
      </c>
      <c r="B14" s="7" t="n">
        <v>0.916667</v>
      </c>
      <c r="C14" s="8" t="n">
        <v>1.333</v>
      </c>
      <c r="D14" s="9">
        <f>1/(1+C14/100)^B14</f>
        <v/>
      </c>
      <c r="E14" s="10" t="n">
        <v>1080.2713</v>
      </c>
      <c r="F14" s="10" t="n">
        <v>771.6224</v>
      </c>
      <c r="G14" s="10" t="n">
        <v>211.645</v>
      </c>
      <c r="H14" s="10" t="n">
        <v>141.0967</v>
      </c>
      <c r="I14" s="10" t="n">
        <v>220.4635</v>
      </c>
      <c r="J14" s="10" t="n">
        <v>661.3905999999999</v>
      </c>
      <c r="K14" s="10" t="n">
        <v>440.9271</v>
      </c>
      <c r="L14" s="10" t="n">
        <v>220.4635</v>
      </c>
      <c r="M14" s="10" t="n">
        <v>308.649</v>
      </c>
      <c r="N14" s="10" t="n">
        <v>132.2781</v>
      </c>
      <c r="O14" s="10" t="n">
        <v>132.2781</v>
      </c>
      <c r="P14" s="10" t="n">
        <v>88.1854</v>
      </c>
      <c r="Q14" s="10" t="n">
        <v>176.3708</v>
      </c>
      <c r="R14" s="10" t="n">
        <v>88.1854</v>
      </c>
      <c r="S14" s="10" t="n">
        <v>44.0927</v>
      </c>
      <c r="T14" s="10" t="n">
        <v>44.0927</v>
      </c>
      <c r="U14" s="10" t="n">
        <v>0</v>
      </c>
      <c r="V14" s="10" t="n">
        <v>1293.8588</v>
      </c>
      <c r="W14" s="10" t="n">
        <v>0</v>
      </c>
      <c r="X14" s="10" t="n">
        <v>1176.2352</v>
      </c>
      <c r="Y14" s="10" t="n">
        <v>705.7411</v>
      </c>
      <c r="Z14" s="10" t="n">
        <v>235.247</v>
      </c>
      <c r="AA14" s="10" t="n">
        <v>117.6235</v>
      </c>
      <c r="AB14" s="10" t="n">
        <v>0</v>
      </c>
    </row>
    <row r="15">
      <c r="A15" s="6" t="inlineStr">
        <is>
          <t>12M</t>
        </is>
      </c>
      <c r="B15" s="7" t="n">
        <v>1</v>
      </c>
      <c r="C15" s="8" t="n">
        <v>1.3372</v>
      </c>
      <c r="D15" s="9">
        <f>1/(1+C15/100)^B15</f>
        <v/>
      </c>
      <c r="E15" s="10" t="n">
        <v>1080.2713</v>
      </c>
      <c r="F15" s="10" t="n">
        <v>771.6224</v>
      </c>
      <c r="G15" s="10" t="n">
        <v>211.645</v>
      </c>
      <c r="H15" s="10" t="n">
        <v>141.0967</v>
      </c>
      <c r="I15" s="10" t="n">
        <v>220.4635</v>
      </c>
      <c r="J15" s="10" t="n">
        <v>661.3905999999999</v>
      </c>
      <c r="K15" s="10" t="n">
        <v>440.9271</v>
      </c>
      <c r="L15" s="10" t="n">
        <v>220.4635</v>
      </c>
      <c r="M15" s="10" t="n">
        <v>308.649</v>
      </c>
      <c r="N15" s="10" t="n">
        <v>132.2781</v>
      </c>
      <c r="O15" s="10" t="n">
        <v>132.2781</v>
      </c>
      <c r="P15" s="10" t="n">
        <v>88.1854</v>
      </c>
      <c r="Q15" s="10" t="n">
        <v>176.3708</v>
      </c>
      <c r="R15" s="10" t="n">
        <v>88.1854</v>
      </c>
      <c r="S15" s="10" t="n">
        <v>44.0927</v>
      </c>
      <c r="T15" s="10" t="n">
        <v>44.0927</v>
      </c>
      <c r="U15" s="10" t="n">
        <v>0</v>
      </c>
      <c r="V15" s="10" t="n">
        <v>1293.8588</v>
      </c>
      <c r="W15" s="10" t="n">
        <v>0</v>
      </c>
      <c r="X15" s="10" t="n">
        <v>1176.2352</v>
      </c>
      <c r="Y15" s="10" t="n">
        <v>705.7411</v>
      </c>
      <c r="Z15" s="10" t="n">
        <v>235.247</v>
      </c>
      <c r="AA15" s="10" t="n">
        <v>117.6235</v>
      </c>
      <c r="AB15" s="10" t="n">
        <v>0</v>
      </c>
    </row>
    <row r="16">
      <c r="A16" s="6" t="inlineStr">
        <is>
          <t>13M</t>
        </is>
      </c>
      <c r="B16" s="7" t="n">
        <v>1.083333</v>
      </c>
      <c r="C16" s="8" t="n">
        <v>1.3393</v>
      </c>
      <c r="D16" s="9">
        <f>1/(1+C16/100)^B16</f>
        <v/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</row>
    <row r="17">
      <c r="A17" s="6" t="inlineStr">
        <is>
          <t>14M</t>
        </is>
      </c>
      <c r="B17" s="7" t="n">
        <v>1.166667</v>
      </c>
      <c r="C17" s="8" t="n">
        <v>1.3415</v>
      </c>
      <c r="D17" s="9">
        <f>1/(1+C17/100)^B17</f>
        <v/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</row>
    <row r="18">
      <c r="A18" s="6" t="inlineStr">
        <is>
          <t>15M</t>
        </is>
      </c>
      <c r="B18" s="7" t="n">
        <v>1.25</v>
      </c>
      <c r="C18" s="8" t="n">
        <v>1.3436</v>
      </c>
      <c r="D18" s="9">
        <f>1/(1+C18/100)^B18</f>
        <v/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</row>
    <row r="19">
      <c r="A19" s="6" t="inlineStr">
        <is>
          <t>16M</t>
        </is>
      </c>
      <c r="B19" s="7" t="n">
        <v>1.333333</v>
      </c>
      <c r="C19" s="8" t="n">
        <v>1.3457</v>
      </c>
      <c r="D19" s="9">
        <f>1/(1+C19/100)^B19</f>
        <v/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</row>
    <row r="20">
      <c r="A20" s="6" t="inlineStr">
        <is>
          <t>17M</t>
        </is>
      </c>
      <c r="B20" s="7" t="n">
        <v>1.416667</v>
      </c>
      <c r="C20" s="8" t="n">
        <v>1.3479</v>
      </c>
      <c r="D20" s="9">
        <f>1/(1+C20/100)^B20</f>
        <v/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</row>
    <row r="21">
      <c r="A21" s="6" t="inlineStr">
        <is>
          <t>18M</t>
        </is>
      </c>
      <c r="B21" s="7" t="n">
        <v>1.5</v>
      </c>
      <c r="C21" s="8" t="n">
        <v>1.35</v>
      </c>
      <c r="D21" s="9">
        <f>1/(1+C21/100)^B21</f>
        <v/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n">
        <v>0</v>
      </c>
    </row>
    <row r="22">
      <c r="A22" s="6" t="inlineStr">
        <is>
          <t>19M</t>
        </is>
      </c>
      <c r="B22" s="7" t="n">
        <v>1.583333</v>
      </c>
      <c r="C22" s="8" t="n">
        <v>1.3518</v>
      </c>
      <c r="D22" s="9">
        <f>1/(1+C22/100)^B22</f>
        <v/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</row>
    <row r="23">
      <c r="A23" s="6" t="inlineStr">
        <is>
          <t>20M</t>
        </is>
      </c>
      <c r="B23" s="7" t="n">
        <v>1.666667</v>
      </c>
      <c r="C23" s="8" t="n">
        <v>1.3535</v>
      </c>
      <c r="D23" s="9">
        <f>1/(1+C23/100)^B23</f>
        <v/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</row>
    <row r="24">
      <c r="A24" s="6" t="inlineStr">
        <is>
          <t>21M</t>
        </is>
      </c>
      <c r="B24" s="7" t="n">
        <v>1.75</v>
      </c>
      <c r="C24" s="8" t="n">
        <v>1.3553</v>
      </c>
      <c r="D24" s="9">
        <f>1/(1+C24/100)^B24</f>
        <v/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</row>
    <row r="25">
      <c r="A25" s="6" t="inlineStr">
        <is>
          <t>22M</t>
        </is>
      </c>
      <c r="B25" s="7" t="n">
        <v>1.833333</v>
      </c>
      <c r="C25" s="8" t="n">
        <v>1.357</v>
      </c>
      <c r="D25" s="9">
        <f>1/(1+C25/100)^B25</f>
        <v/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</row>
    <row r="26">
      <c r="A26" s="6" t="inlineStr">
        <is>
          <t>23M</t>
        </is>
      </c>
      <c r="B26" s="7" t="n">
        <v>1.916667</v>
      </c>
      <c r="C26" s="8" t="n">
        <v>1.3588</v>
      </c>
      <c r="D26" s="9">
        <f>1/(1+C26/100)^B26</f>
        <v/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</row>
    <row r="27">
      <c r="A27" s="6" t="inlineStr">
        <is>
          <t>24M</t>
        </is>
      </c>
      <c r="B27" s="7" t="n">
        <v>2</v>
      </c>
      <c r="C27" s="8" t="n">
        <v>1.3605</v>
      </c>
      <c r="D27" s="9">
        <f>1/(1+C27/100)^B27</f>
        <v/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</row>
    <row r="28">
      <c r="A28" s="6" t="inlineStr">
        <is>
          <t>25M</t>
        </is>
      </c>
      <c r="B28" s="7" t="n">
        <v>2.083333</v>
      </c>
      <c r="C28" s="8" t="n">
        <v>1.3621</v>
      </c>
      <c r="D28" s="9">
        <f>1/(1+C28/100)^B28</f>
        <v/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</row>
    <row r="29">
      <c r="A29" s="6" t="inlineStr">
        <is>
          <t>26M</t>
        </is>
      </c>
      <c r="B29" s="7" t="n">
        <v>2.166667</v>
      </c>
      <c r="C29" s="8" t="n">
        <v>1.3637</v>
      </c>
      <c r="D29" s="9">
        <f>1/(1+C29/100)^B29</f>
        <v/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</row>
    <row r="30">
      <c r="A30" s="6" t="inlineStr">
        <is>
          <t>27M</t>
        </is>
      </c>
      <c r="B30" s="7" t="n">
        <v>2.25</v>
      </c>
      <c r="C30" s="8" t="n">
        <v>1.3653</v>
      </c>
      <c r="D30" s="9">
        <f>1/(1+C30/100)^B30</f>
        <v/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</row>
    <row r="31">
      <c r="A31" s="6" t="inlineStr">
        <is>
          <t>28M</t>
        </is>
      </c>
      <c r="B31" s="7" t="n">
        <v>2.333333</v>
      </c>
      <c r="C31" s="8" t="n">
        <v>1.3668</v>
      </c>
      <c r="D31" s="9">
        <f>1/(1+C31/100)^B31</f>
        <v/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</row>
    <row r="32">
      <c r="A32" s="6" t="inlineStr">
        <is>
          <t>29M</t>
        </is>
      </c>
      <c r="B32" s="7" t="n">
        <v>2.416667</v>
      </c>
      <c r="C32" s="8" t="n">
        <v>1.3684</v>
      </c>
      <c r="D32" s="9">
        <f>1/(1+C32/100)^B32</f>
        <v/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</row>
    <row r="33">
      <c r="A33" s="6" t="inlineStr">
        <is>
          <t>30M</t>
        </is>
      </c>
      <c r="B33" s="7" t="n">
        <v>2.5</v>
      </c>
      <c r="C33" s="8" t="n">
        <v>1.37</v>
      </c>
      <c r="D33" s="9">
        <f>1/(1+C33/100)^B33</f>
        <v/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</row>
    <row r="34">
      <c r="A34" s="6" t="inlineStr">
        <is>
          <t>31M</t>
        </is>
      </c>
      <c r="B34" s="7" t="n">
        <v>2.583333</v>
      </c>
      <c r="C34" s="8" t="n">
        <v>1.3722</v>
      </c>
      <c r="D34" s="9">
        <f>1/(1+C34/100)^B34</f>
        <v/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</row>
    <row r="35">
      <c r="A35" s="6" t="inlineStr">
        <is>
          <t>32M</t>
        </is>
      </c>
      <c r="B35" s="7" t="n">
        <v>2.666667</v>
      </c>
      <c r="C35" s="8" t="n">
        <v>1.3743</v>
      </c>
      <c r="D35" s="9">
        <f>1/(1+C35/100)^B35</f>
        <v/>
      </c>
      <c r="E35" s="10" t="n">
        <v>0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</row>
    <row r="36">
      <c r="A36" s="6" t="inlineStr">
        <is>
          <t>33M</t>
        </is>
      </c>
      <c r="B36" s="7" t="n">
        <v>2.75</v>
      </c>
      <c r="C36" s="8" t="n">
        <v>1.3765</v>
      </c>
      <c r="D36" s="9">
        <f>1/(1+C36/100)^B36</f>
        <v/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</row>
    <row r="37">
      <c r="A37" s="6" t="inlineStr">
        <is>
          <t>34M</t>
        </is>
      </c>
      <c r="B37" s="7" t="n">
        <v>2.833333</v>
      </c>
      <c r="C37" s="8" t="n">
        <v>1.3787</v>
      </c>
      <c r="D37" s="9">
        <f>1/(1+C37/100)^B37</f>
        <v/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</row>
    <row r="38">
      <c r="A38" s="6" t="inlineStr">
        <is>
          <t>35M</t>
        </is>
      </c>
      <c r="B38" s="7" t="n">
        <v>2.916667</v>
      </c>
      <c r="C38" s="8" t="n">
        <v>1.3808</v>
      </c>
      <c r="D38" s="9">
        <f>1/(1+C38/100)^B38</f>
        <v/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</row>
    <row r="39">
      <c r="A39" s="6" t="inlineStr">
        <is>
          <t>36M</t>
        </is>
      </c>
      <c r="B39" s="7" t="n">
        <v>3</v>
      </c>
      <c r="C39" s="8" t="n">
        <v>1.383</v>
      </c>
      <c r="D39" s="9">
        <f>1/(1+C39/100)^B39</f>
        <v/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</row>
    <row r="40">
      <c r="A40" s="6" t="inlineStr">
        <is>
          <t>37M</t>
        </is>
      </c>
      <c r="B40" s="7" t="n">
        <v>3.083333</v>
      </c>
      <c r="C40" s="8" t="n">
        <v>1.3927</v>
      </c>
      <c r="D40" s="9">
        <f>1/(1+C40/100)^B40</f>
        <v/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</row>
    <row r="41">
      <c r="A41" s="6" t="inlineStr">
        <is>
          <t>38M</t>
        </is>
      </c>
      <c r="B41" s="7" t="n">
        <v>3.166667</v>
      </c>
      <c r="C41" s="8" t="n">
        <v>1.4025</v>
      </c>
      <c r="D41" s="9">
        <f>1/(1+C41/100)^B41</f>
        <v/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</row>
    <row r="42">
      <c r="A42" s="6" t="inlineStr">
        <is>
          <t>39M</t>
        </is>
      </c>
      <c r="B42" s="7" t="n">
        <v>3.25</v>
      </c>
      <c r="C42" s="8" t="n">
        <v>1.4123</v>
      </c>
      <c r="D42" s="9">
        <f>1/(1+C42/100)^B42</f>
        <v/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</row>
    <row r="43">
      <c r="A43" s="6" t="inlineStr">
        <is>
          <t>40M</t>
        </is>
      </c>
      <c r="B43" s="7" t="n">
        <v>3.333333</v>
      </c>
      <c r="C43" s="8" t="n">
        <v>1.422</v>
      </c>
      <c r="D43" s="9">
        <f>1/(1+C43/100)^B43</f>
        <v/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</row>
    <row r="44">
      <c r="A44" s="6" t="inlineStr">
        <is>
          <t>41M</t>
        </is>
      </c>
      <c r="B44" s="7" t="n">
        <v>3.416667</v>
      </c>
      <c r="C44" s="8" t="n">
        <v>1.4318</v>
      </c>
      <c r="D44" s="9">
        <f>1/(1+C44/100)^B44</f>
        <v/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</row>
    <row r="45">
      <c r="A45" s="6" t="inlineStr">
        <is>
          <t>42M</t>
        </is>
      </c>
      <c r="B45" s="7" t="n">
        <v>3.5</v>
      </c>
      <c r="C45" s="8" t="n">
        <v>1.4415</v>
      </c>
      <c r="D45" s="9">
        <f>1/(1+C45/100)^B45</f>
        <v/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n">
        <v>0</v>
      </c>
    </row>
    <row r="46">
      <c r="A46" s="6" t="inlineStr">
        <is>
          <t>43M</t>
        </is>
      </c>
      <c r="B46" s="7" t="n">
        <v>3.583333</v>
      </c>
      <c r="C46" s="8" t="n">
        <v>1.4512</v>
      </c>
      <c r="D46" s="9">
        <f>1/(1+C46/100)^B46</f>
        <v/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</row>
    <row r="47">
      <c r="A47" s="6" t="inlineStr">
        <is>
          <t>44M</t>
        </is>
      </c>
      <c r="B47" s="7" t="n">
        <v>3.666667</v>
      </c>
      <c r="C47" s="8" t="n">
        <v>1.461</v>
      </c>
      <c r="D47" s="9">
        <f>1/(1+C47/100)^B47</f>
        <v/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</row>
    <row r="48">
      <c r="A48" s="6" t="inlineStr">
        <is>
          <t>45M</t>
        </is>
      </c>
      <c r="B48" s="7" t="n">
        <v>3.75</v>
      </c>
      <c r="C48" s="8" t="n">
        <v>1.4708</v>
      </c>
      <c r="D48" s="9">
        <f>1/(1+C48/100)^B48</f>
        <v/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</row>
    <row r="49">
      <c r="A49" s="6" t="inlineStr">
        <is>
          <t>46M</t>
        </is>
      </c>
      <c r="B49" s="7" t="n">
        <v>3.833333</v>
      </c>
      <c r="C49" s="8" t="n">
        <v>1.4805</v>
      </c>
      <c r="D49" s="9">
        <f>1/(1+C49/100)^B49</f>
        <v/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</row>
    <row r="50">
      <c r="A50" s="6" t="inlineStr">
        <is>
          <t>47M</t>
        </is>
      </c>
      <c r="B50" s="7" t="n">
        <v>3.916667</v>
      </c>
      <c r="C50" s="8" t="n">
        <v>1.4903</v>
      </c>
      <c r="D50" s="9">
        <f>1/(1+C50/100)^B50</f>
        <v/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</row>
    <row r="51">
      <c r="A51" s="6" t="inlineStr">
        <is>
          <t>48M</t>
        </is>
      </c>
      <c r="B51" s="7" t="n">
        <v>4</v>
      </c>
      <c r="C51" s="8" t="n">
        <v>1.5</v>
      </c>
      <c r="D51" s="9">
        <f>1/(1+C51/100)^B51</f>
        <v/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</row>
    <row r="52">
      <c r="A52" s="6" t="inlineStr">
        <is>
          <t>49M</t>
        </is>
      </c>
      <c r="B52" s="7" t="n">
        <v>4.083333</v>
      </c>
      <c r="C52" s="8" t="n">
        <v>1.5109</v>
      </c>
      <c r="D52" s="9">
        <f>1/(1+C52/100)^B52</f>
        <v/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</row>
    <row r="53">
      <c r="A53" s="6" t="inlineStr">
        <is>
          <t>50M</t>
        </is>
      </c>
      <c r="B53" s="7" t="n">
        <v>4.166667</v>
      </c>
      <c r="C53" s="8" t="n">
        <v>1.5218</v>
      </c>
      <c r="D53" s="9">
        <f>1/(1+C53/100)^B53</f>
        <v/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</row>
    <row r="54">
      <c r="A54" s="6" t="inlineStr">
        <is>
          <t>51M</t>
        </is>
      </c>
      <c r="B54" s="7" t="n">
        <v>4.25</v>
      </c>
      <c r="C54" s="8" t="n">
        <v>1.5327</v>
      </c>
      <c r="D54" s="9">
        <f>1/(1+C54/100)^B54</f>
        <v/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</row>
    <row r="55">
      <c r="A55" s="6" t="inlineStr">
        <is>
          <t>52M</t>
        </is>
      </c>
      <c r="B55" s="7" t="n">
        <v>4.333333</v>
      </c>
      <c r="C55" s="8" t="n">
        <v>1.5436</v>
      </c>
      <c r="D55" s="9">
        <f>1/(1+C55/100)^B55</f>
        <v/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</row>
    <row r="56">
      <c r="A56" s="6" t="inlineStr">
        <is>
          <t>53M</t>
        </is>
      </c>
      <c r="B56" s="7" t="n">
        <v>4.416667</v>
      </c>
      <c r="C56" s="8" t="n">
        <v>1.5545</v>
      </c>
      <c r="D56" s="9">
        <f>1/(1+C56/100)^B56</f>
        <v/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</row>
    <row r="57">
      <c r="A57" s="6" t="inlineStr">
        <is>
          <t>54M</t>
        </is>
      </c>
      <c r="B57" s="7" t="n">
        <v>4.5</v>
      </c>
      <c r="C57" s="8" t="n">
        <v>1.5655</v>
      </c>
      <c r="D57" s="9">
        <f>1/(1+C57/100)^B57</f>
        <v/>
      </c>
      <c r="E57" s="10" t="n">
        <v>0</v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</row>
    <row r="58">
      <c r="A58" s="6" t="inlineStr">
        <is>
          <t>55M</t>
        </is>
      </c>
      <c r="B58" s="7" t="n">
        <v>4.583333</v>
      </c>
      <c r="C58" s="8" t="n">
        <v>1.5764</v>
      </c>
      <c r="D58" s="9">
        <f>1/(1+C58/100)^B58</f>
        <v/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</row>
    <row r="59">
      <c r="A59" s="6" t="inlineStr">
        <is>
          <t>56M</t>
        </is>
      </c>
      <c r="B59" s="7" t="n">
        <v>4.666667</v>
      </c>
      <c r="C59" s="8" t="n">
        <v>1.5873</v>
      </c>
      <c r="D59" s="9">
        <f>1/(1+C59/100)^B59</f>
        <v/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</row>
    <row r="60">
      <c r="A60" s="6" t="inlineStr">
        <is>
          <t>57M</t>
        </is>
      </c>
      <c r="B60" s="7" t="n">
        <v>4.75</v>
      </c>
      <c r="C60" s="8" t="n">
        <v>1.5982</v>
      </c>
      <c r="D60" s="9">
        <f>1/(1+C60/100)^B60</f>
        <v/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</row>
    <row r="61">
      <c r="A61" s="6" t="inlineStr">
        <is>
          <t>58M</t>
        </is>
      </c>
      <c r="B61" s="7" t="n">
        <v>4.833333</v>
      </c>
      <c r="C61" s="8" t="n">
        <v>1.6091</v>
      </c>
      <c r="D61" s="9">
        <f>1/(1+C61/100)^B61</f>
        <v/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</row>
    <row r="62">
      <c r="A62" s="6" t="inlineStr">
        <is>
          <t>59M</t>
        </is>
      </c>
      <c r="B62" s="7" t="n">
        <v>4.916667</v>
      </c>
      <c r="C62" s="8" t="n">
        <v>1.62</v>
      </c>
      <c r="D62" s="9">
        <f>1/(1+C62/100)^B62</f>
        <v/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</row>
    <row r="63">
      <c r="A63" s="6" t="inlineStr">
        <is>
          <t>60M</t>
        </is>
      </c>
      <c r="B63" s="7" t="n">
        <v>5</v>
      </c>
      <c r="C63" s="8" t="n">
        <v>1.6309</v>
      </c>
      <c r="D63" s="9">
        <f>1/(1+C63/100)^B63</f>
        <v/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</row>
    <row r="64">
      <c r="A64" s="6" t="inlineStr">
        <is>
          <t>10Y</t>
        </is>
      </c>
      <c r="B64" s="7" t="n">
        <v>10</v>
      </c>
      <c r="C64" s="8" t="n">
        <v>1.8473</v>
      </c>
      <c r="D64" s="9">
        <f>1/(1+C64/100)^B64</f>
        <v/>
      </c>
      <c r="E64" s="10" t="n">
        <v>5770.6802</v>
      </c>
      <c r="F64" s="10" t="n">
        <v>4121.9145</v>
      </c>
      <c r="G64" s="10" t="n">
        <v>1130.5822</v>
      </c>
      <c r="H64" s="10" t="n">
        <v>753.7215</v>
      </c>
      <c r="I64" s="10" t="n">
        <v>1177.6898</v>
      </c>
      <c r="J64" s="10" t="n">
        <v>3533.0695</v>
      </c>
      <c r="K64" s="10" t="n">
        <v>2355.3797</v>
      </c>
      <c r="L64" s="10" t="n">
        <v>1177.6898</v>
      </c>
      <c r="M64" s="10" t="n">
        <v>1648.7658</v>
      </c>
      <c r="N64" s="10" t="n">
        <v>706.6138999999999</v>
      </c>
      <c r="O64" s="10" t="n">
        <v>706.6138999999999</v>
      </c>
      <c r="P64" s="10" t="n">
        <v>471.0759</v>
      </c>
      <c r="Q64" s="10" t="n">
        <v>942.1519</v>
      </c>
      <c r="R64" s="10" t="n">
        <v>471.0759</v>
      </c>
      <c r="S64" s="10" t="n">
        <v>235.538</v>
      </c>
      <c r="T64" s="10" t="n">
        <v>235.538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</row>
    <row r="65">
      <c r="A65" s="6" t="inlineStr">
        <is>
          <t>15Y</t>
        </is>
      </c>
      <c r="B65" s="7" t="n">
        <v>15</v>
      </c>
      <c r="C65" s="8" t="n">
        <v>1.97</v>
      </c>
      <c r="D65" s="9">
        <f>1/(1+C65/100)^B65</f>
        <v/>
      </c>
      <c r="E65" s="10" t="n">
        <v>2885.3401</v>
      </c>
      <c r="F65" s="10" t="n">
        <v>2060.9572</v>
      </c>
      <c r="G65" s="10" t="n">
        <v>565.2911</v>
      </c>
      <c r="H65" s="10" t="n">
        <v>376.8607</v>
      </c>
      <c r="I65" s="10" t="n">
        <v>588.8449000000001</v>
      </c>
      <c r="J65" s="10" t="n">
        <v>1766.5348</v>
      </c>
      <c r="K65" s="10" t="n">
        <v>1177.6898</v>
      </c>
      <c r="L65" s="10" t="n">
        <v>588.8449000000001</v>
      </c>
      <c r="M65" s="10" t="n">
        <v>824.3828999999999</v>
      </c>
      <c r="N65" s="10" t="n">
        <v>353.307</v>
      </c>
      <c r="O65" s="10" t="n">
        <v>353.307</v>
      </c>
      <c r="P65" s="10" t="n">
        <v>235.538</v>
      </c>
      <c r="Q65" s="10" t="n">
        <v>471.0759</v>
      </c>
      <c r="R65" s="10" t="n">
        <v>235.538</v>
      </c>
      <c r="S65" s="10" t="n">
        <v>117.769</v>
      </c>
      <c r="T65" s="10" t="n">
        <v>117.769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</row>
    <row r="66">
      <c r="A66" s="6" t="inlineStr">
        <is>
          <t>20Y</t>
        </is>
      </c>
      <c r="B66" s="7" t="n">
        <v>20</v>
      </c>
      <c r="C66" s="8" t="n">
        <v>2.1</v>
      </c>
      <c r="D66" s="9">
        <f>1/(1+C66/100)^B66</f>
        <v/>
      </c>
      <c r="E66" s="10" t="n">
        <v>1440.3618</v>
      </c>
      <c r="F66" s="10" t="n">
        <v>1028.8298</v>
      </c>
      <c r="G66" s="10" t="n">
        <v>282.1933</v>
      </c>
      <c r="H66" s="10" t="n">
        <v>188.1289</v>
      </c>
      <c r="I66" s="10" t="n">
        <v>293.9514</v>
      </c>
      <c r="J66" s="10" t="n">
        <v>881.8542</v>
      </c>
      <c r="K66" s="10" t="n">
        <v>587.9028</v>
      </c>
      <c r="L66" s="10" t="n">
        <v>293.9514</v>
      </c>
      <c r="M66" s="10" t="n">
        <v>411.5319</v>
      </c>
      <c r="N66" s="10" t="n">
        <v>176.3708</v>
      </c>
      <c r="O66" s="10" t="n">
        <v>176.3708</v>
      </c>
      <c r="P66" s="10" t="n">
        <v>117.5806</v>
      </c>
      <c r="Q66" s="10" t="n">
        <v>235.1611</v>
      </c>
      <c r="R66" s="10" t="n">
        <v>117.5806</v>
      </c>
      <c r="S66" s="10" t="n">
        <v>58.7903</v>
      </c>
      <c r="T66" s="10" t="n">
        <v>58.7903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</row>
    <row r="67">
      <c r="A67" s="6" t="inlineStr">
        <is>
          <t>30Y</t>
        </is>
      </c>
      <c r="B67" s="7" t="n">
        <v>30</v>
      </c>
      <c r="C67" s="8" t="n">
        <v>2.2674</v>
      </c>
      <c r="D67" s="9">
        <f>1/(1+C67/100)^B67</f>
        <v/>
      </c>
      <c r="E67" s="10" t="n">
        <v>1440.3618</v>
      </c>
      <c r="F67" s="10" t="n">
        <v>1028.8298</v>
      </c>
      <c r="G67" s="10" t="n">
        <v>282.1933</v>
      </c>
      <c r="H67" s="10" t="n">
        <v>188.1289</v>
      </c>
      <c r="I67" s="10" t="n">
        <v>293.9514</v>
      </c>
      <c r="J67" s="10" t="n">
        <v>881.8542</v>
      </c>
      <c r="K67" s="10" t="n">
        <v>587.9028</v>
      </c>
      <c r="L67" s="10" t="n">
        <v>293.9514</v>
      </c>
      <c r="M67" s="10" t="n">
        <v>411.5319</v>
      </c>
      <c r="N67" s="10" t="n">
        <v>176.3708</v>
      </c>
      <c r="O67" s="10" t="n">
        <v>176.3708</v>
      </c>
      <c r="P67" s="10" t="n">
        <v>117.5806</v>
      </c>
      <c r="Q67" s="10" t="n">
        <v>235.1611</v>
      </c>
      <c r="R67" s="10" t="n">
        <v>117.5806</v>
      </c>
      <c r="S67" s="10" t="n">
        <v>58.7903</v>
      </c>
      <c r="T67" s="10" t="n">
        <v>58.7903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</row>
    <row r="69">
      <c r="A69" s="11" t="inlineStr">
        <is>
          <t>【数据来源】prcp_basic_20251231_v5.xlsx → 基础数据 sheet</t>
        </is>
      </c>
    </row>
    <row r="70">
      <c r="A70" s="12" t="inlineStr">
        <is>
          <t xml:space="preserve">  · 收益率曲线: B48-B111 = 64 段 (中债登 2025-12-31 + 线性插值)</t>
        </is>
      </c>
    </row>
    <row r="71">
      <c r="A71" s="12" t="inlineStr">
        <is>
          <t xml:space="preserve">  · 现金流: C76-C139 = 剩余·1M-60M (60 段) + 剩余·10Y/15Y/20Y/30Y (4 段)</t>
        </is>
      </c>
    </row>
    <row r="72">
      <c r="A72" s="12" t="inlineStr">
        <is>
          <t xml:space="preserve">  · 账户范围: 24 个末级账户 (is_leaf=1), 已剔除汇总行避免重复计算</t>
        </is>
      </c>
    </row>
    <row r="73">
      <c r="A73" s="12" t="inlineStr"/>
    </row>
    <row r="74">
      <c r="A74" s="11" t="inlineStr">
        <is>
          <t>【单位说明】</t>
        </is>
      </c>
    </row>
    <row r="75">
      <c r="A75" s="12" t="inlineStr">
        <is>
          <t xml:space="preserve">  · 利率列单位 = % (如 1.27 表示 1.27%)</t>
        </is>
      </c>
    </row>
    <row r="76">
      <c r="A76" s="12" t="inlineStr">
        <is>
          <t xml:space="preserve">  · 现金流列单位 = 亿元</t>
        </is>
      </c>
    </row>
    <row r="77">
      <c r="A77" s="12" t="inlineStr">
        <is>
          <t xml:space="preserve">  · 折现因子 = 1/(1 + 利率/100)^年数, 无量纲</t>
        </is>
      </c>
    </row>
    <row r="78">
      <c r="A78" s="12" t="inlineStr"/>
    </row>
    <row r="79">
      <c r="A79" s="11" t="inlineStr">
        <is>
          <t>【联动关系】</t>
        </is>
      </c>
    </row>
    <row r="80">
      <c r="A80" s="12" t="inlineStr">
        <is>
          <t xml:space="preserve">  · 修改 C 列 (利率) → D 列折现因子重算 → 麦考林久期计算表 / 久期缺口 / 期限分布 全部自动更新</t>
        </is>
      </c>
    </row>
    <row r="81">
      <c r="A81" s="12" t="inlineStr">
        <is>
          <t xml:space="preserve">  · 修改 E 列及以后 (现金流) → 同上</t>
        </is>
      </c>
    </row>
  </sheetData>
  <mergeCells count="15">
    <mergeCell ref="A73:F73"/>
    <mergeCell ref="A71:F71"/>
    <mergeCell ref="A1:J1"/>
    <mergeCell ref="A76:F76"/>
    <mergeCell ref="A80:F80"/>
    <mergeCell ref="A75:F75"/>
    <mergeCell ref="A70:F70"/>
    <mergeCell ref="A79:F79"/>
    <mergeCell ref="A74:F74"/>
    <mergeCell ref="A2:J2"/>
    <mergeCell ref="A78:F78"/>
    <mergeCell ref="A72:F72"/>
    <mergeCell ref="A77:F77"/>
    <mergeCell ref="A69:F69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15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30" customHeight="1">
      <c r="A1" s="1" t="inlineStr">
        <is>
          <t>麦考林久期计量表 (Macaulay Duration) — 中信银行 2025-12-31</t>
        </is>
      </c>
    </row>
    <row r="2">
      <c r="A2" s="2" t="inlineStr">
        <is>
          <t>D_mac = Σ(t × PV_t) / Σ(PV_t)  |  D_mod = D_mac / (1 + y_avg)  |  所有数值均由「折现数据源」sheet 公式计算，联动更新</t>
        </is>
      </c>
    </row>
    <row r="4" ht="32" customHeight="1">
      <c r="A4" s="13" t="inlineStr">
        <is>
          <t>账户编码</t>
        </is>
      </c>
      <c r="B4" s="13" t="inlineStr">
        <is>
          <t>账户名称</t>
        </is>
      </c>
      <c r="C4" s="13" t="inlineStr">
        <is>
          <t>大类</t>
        </is>
      </c>
      <c r="D4" s="13" t="inlineStr">
        <is>
          <t>当前余额 (亿元)</t>
        </is>
      </c>
      <c r="E4" s="13" t="inlineStr">
        <is>
          <t>PV 合计 (亿元)</t>
        </is>
      </c>
      <c r="F4" s="13" t="inlineStr">
        <is>
          <t>Σ t×PV (亿元·年)</t>
        </is>
      </c>
      <c r="G4" s="13" t="inlineStr">
        <is>
          <t>麦考林久期 (年)</t>
        </is>
      </c>
      <c r="H4" s="13" t="inlineStr">
        <is>
          <t>修正久期 (年)</t>
        </is>
      </c>
      <c r="I4" s="13" t="inlineStr">
        <is>
          <t>加权平均收益率 (%)</t>
        </is>
      </c>
      <c r="J4" s="13" t="inlineStr">
        <is>
          <t>PV 占比 (%)</t>
        </is>
      </c>
    </row>
    <row r="5">
      <c r="A5" s="14" t="inlineStr">
        <is>
          <t>S01010101000000</t>
        </is>
      </c>
      <c r="B5" s="15" t="inlineStr">
        <is>
          <t>1.1. 对公一般贷款</t>
        </is>
      </c>
      <c r="C5" s="14" t="inlineStr">
        <is>
          <t>资产</t>
        </is>
      </c>
      <c r="D5" s="16" t="n">
        <v>24500</v>
      </c>
      <c r="E5" s="17">
        <f>SUMPRODUCT(折现数据源!E$4:E$67,折现数据源!$D$4:$D$67)</f>
        <v/>
      </c>
      <c r="F5" s="17">
        <f>SUMPRODUCT(折现数据源!E$4:E$67,折现数据源!$D$4:$D$67,折现数据源!$B$4:$B$67)</f>
        <v/>
      </c>
      <c r="G5" s="18">
        <f>IF(E5=0,0,F5/E5)</f>
        <v/>
      </c>
      <c r="H5" s="18">
        <f>IF(I5=0,G5,G5/(1+I5))</f>
        <v/>
      </c>
      <c r="I5" s="18">
        <f>IF(E5=0,0,SUMPRODUCT(折现数据源!E$4:E$67,折现数据源!$C$4:$C$67/100,折现数据源!$D$4:$D$67)/E5)</f>
        <v/>
      </c>
      <c r="J5" s="19">
        <f>IF(SUM($E$5:$E$28)=0,0,E5/SUM($E$5:$E$28))</f>
        <v/>
      </c>
    </row>
    <row r="6">
      <c r="A6" s="14" t="inlineStr">
        <is>
          <t>S01010102000000</t>
        </is>
      </c>
      <c r="B6" s="15" t="inlineStr">
        <is>
          <t>1.2. 个人贷款</t>
        </is>
      </c>
      <c r="C6" s="14" t="inlineStr">
        <is>
          <t>资产</t>
        </is>
      </c>
      <c r="D6" s="16" t="n">
        <v>17500</v>
      </c>
      <c r="E6" s="17">
        <f>SUMPRODUCT(折现数据源!F$4:F$67,折现数据源!$D$4:$D$67)</f>
        <v/>
      </c>
      <c r="F6" s="17">
        <f>SUMPRODUCT(折现数据源!F$4:F$67,折现数据源!$D$4:$D$67,折现数据源!$B$4:$B$67)</f>
        <v/>
      </c>
      <c r="G6" s="18">
        <f>IF(E6=0,0,F6/E6)</f>
        <v/>
      </c>
      <c r="H6" s="18">
        <f>IF(I6=0,G6,G6/(1+I6))</f>
        <v/>
      </c>
      <c r="I6" s="18">
        <f>IF(E6=0,0,SUMPRODUCT(折现数据源!F$4:F$67,折现数据源!$C$4:$C$67/100,折现数据源!$D$4:$D$67)/E6)</f>
        <v/>
      </c>
      <c r="J6" s="19">
        <f>IF(SUM($E$5:$E$28)=0,0,E6/SUM($E$5:$E$28))</f>
        <v/>
      </c>
    </row>
    <row r="7">
      <c r="A7" s="14" t="inlineStr">
        <is>
          <t>S01010103000000</t>
        </is>
      </c>
      <c r="B7" s="15" t="inlineStr">
        <is>
          <t>1.3. 信用卡贷款</t>
        </is>
      </c>
      <c r="C7" s="14" t="inlineStr">
        <is>
          <t>资产</t>
        </is>
      </c>
      <c r="D7" s="16" t="n">
        <v>4800</v>
      </c>
      <c r="E7" s="17">
        <f>SUMPRODUCT(折现数据源!G$4:G$67,折现数据源!$D$4:$D$67)</f>
        <v/>
      </c>
      <c r="F7" s="17">
        <f>SUMPRODUCT(折现数据源!G$4:G$67,折现数据源!$D$4:$D$67,折现数据源!$B$4:$B$67)</f>
        <v/>
      </c>
      <c r="G7" s="18">
        <f>IF(E7=0,0,F7/E7)</f>
        <v/>
      </c>
      <c r="H7" s="18">
        <f>IF(I7=0,G7,G7/(1+I7))</f>
        <v/>
      </c>
      <c r="I7" s="18">
        <f>IF(E7=0,0,SUMPRODUCT(折现数据源!G$4:G$67,折现数据源!$C$4:$C$67/100,折现数据源!$D$4:$D$67)/E7)</f>
        <v/>
      </c>
      <c r="J7" s="19">
        <f>IF(SUM($E$5:$E$28)=0,0,E7/SUM($E$5:$E$28))</f>
        <v/>
      </c>
    </row>
    <row r="8">
      <c r="A8" s="14" t="inlineStr">
        <is>
          <t>S01010104000000</t>
        </is>
      </c>
      <c r="B8" s="15" t="inlineStr">
        <is>
          <t>1.4. 票据贴现</t>
        </is>
      </c>
      <c r="C8" s="14" t="inlineStr">
        <is>
          <t>资产</t>
        </is>
      </c>
      <c r="D8" s="16" t="n">
        <v>3200</v>
      </c>
      <c r="E8" s="17">
        <f>SUMPRODUCT(折现数据源!H$4:H$67,折现数据源!$D$4:$D$67)</f>
        <v/>
      </c>
      <c r="F8" s="17">
        <f>SUMPRODUCT(折现数据源!H$4:H$67,折现数据源!$D$4:$D$67,折现数据源!$B$4:$B$67)</f>
        <v/>
      </c>
      <c r="G8" s="18">
        <f>IF(E8=0,0,F8/E8)</f>
        <v/>
      </c>
      <c r="H8" s="18">
        <f>IF(I8=0,G8,G8/(1+I8))</f>
        <v/>
      </c>
      <c r="I8" s="18">
        <f>IF(E8=0,0,SUMPRODUCT(折现数据源!H$4:H$67,折现数据源!$C$4:$C$67/100,折现数据源!$D$4:$D$67)/E8)</f>
        <v/>
      </c>
      <c r="J8" s="19">
        <f>IF(SUM($E$5:$E$28)=0,0,E8/SUM($E$5:$E$28))</f>
        <v/>
      </c>
    </row>
    <row r="9">
      <c r="A9" s="14" t="inlineStr">
        <is>
          <t>S01010105000000</t>
        </is>
      </c>
      <c r="B9" s="15" t="inlineStr">
        <is>
          <t>1.5. 非银贷款</t>
        </is>
      </c>
      <c r="C9" s="14" t="inlineStr">
        <is>
          <t>资产</t>
        </is>
      </c>
      <c r="D9" s="16" t="n">
        <v>5000</v>
      </c>
      <c r="E9" s="17">
        <f>SUMPRODUCT(折现数据源!I$4:I$67,折现数据源!$D$4:$D$67)</f>
        <v/>
      </c>
      <c r="F9" s="17">
        <f>SUMPRODUCT(折现数据源!I$4:I$67,折现数据源!$D$4:$D$67,折现数据源!$B$4:$B$67)</f>
        <v/>
      </c>
      <c r="G9" s="18">
        <f>IF(E9=0,0,F9/E9)</f>
        <v/>
      </c>
      <c r="H9" s="18">
        <f>IF(I9=0,G9,G9/(1+I9))</f>
        <v/>
      </c>
      <c r="I9" s="18">
        <f>IF(E9=0,0,SUMPRODUCT(折现数据源!I$4:I$67,折现数据源!$C$4:$C$67/100,折现数据源!$D$4:$D$67)/E9)</f>
        <v/>
      </c>
      <c r="J9" s="19">
        <f>IF(SUM($E$5:$E$28)=0,0,E9/SUM($E$5:$E$28))</f>
        <v/>
      </c>
    </row>
    <row r="10">
      <c r="A10" s="14" t="inlineStr">
        <is>
          <t>S010102010100</t>
        </is>
      </c>
      <c r="B10" s="15" t="inlineStr">
        <is>
          <t>2.1.1 金市自营债券</t>
        </is>
      </c>
      <c r="C10" s="14" t="inlineStr">
        <is>
          <t>资产</t>
        </is>
      </c>
      <c r="D10" s="16" t="n">
        <v>15000</v>
      </c>
      <c r="E10" s="17">
        <f>SUMPRODUCT(折现数据源!J$4:J$67,折现数据源!$D$4:$D$67)</f>
        <v/>
      </c>
      <c r="F10" s="17">
        <f>SUMPRODUCT(折现数据源!J$4:J$67,折现数据源!$D$4:$D$67,折现数据源!$B$4:$B$67)</f>
        <v/>
      </c>
      <c r="G10" s="18">
        <f>IF(E10=0,0,F10/E10)</f>
        <v/>
      </c>
      <c r="H10" s="18">
        <f>IF(I10=0,G10,G10/(1+I10))</f>
        <v/>
      </c>
      <c r="I10" s="18">
        <f>IF(E10=0,0,SUMPRODUCT(折现数据源!J$4:J$67,折现数据源!$C$4:$C$67/100,折现数据源!$D$4:$D$67)/E10)</f>
        <v/>
      </c>
      <c r="J10" s="19">
        <f>IF(SUM($E$5:$E$28)=0,0,E10/SUM($E$5:$E$28))</f>
        <v/>
      </c>
    </row>
    <row r="11">
      <c r="A11" s="14" t="inlineStr">
        <is>
          <t>S010102010200</t>
        </is>
      </c>
      <c r="B11" s="15" t="inlineStr">
        <is>
          <t>2.1.2 司库债券</t>
        </is>
      </c>
      <c r="C11" s="14" t="inlineStr">
        <is>
          <t>资产</t>
        </is>
      </c>
      <c r="D11" s="16" t="n">
        <v>10000</v>
      </c>
      <c r="E11" s="17">
        <f>SUMPRODUCT(折现数据源!K$4:K$67,折现数据源!$D$4:$D$67)</f>
        <v/>
      </c>
      <c r="F11" s="17">
        <f>SUMPRODUCT(折现数据源!K$4:K$67,折现数据源!$D$4:$D$67,折现数据源!$B$4:$B$67)</f>
        <v/>
      </c>
      <c r="G11" s="18">
        <f>IF(E11=0,0,F11/E11)</f>
        <v/>
      </c>
      <c r="H11" s="18">
        <f>IF(I11=0,G11,G11/(1+I11))</f>
        <v/>
      </c>
      <c r="I11" s="18">
        <f>IF(E11=0,0,SUMPRODUCT(折现数据源!K$4:K$67,折现数据源!$C$4:$C$67/100,折现数据源!$D$4:$D$67)/E11)</f>
        <v/>
      </c>
      <c r="J11" s="19">
        <f>IF(SUM($E$5:$E$28)=0,0,E11/SUM($E$5:$E$28))</f>
        <v/>
      </c>
    </row>
    <row r="12">
      <c r="A12" s="14" t="inlineStr">
        <is>
          <t>S01010202000000</t>
        </is>
      </c>
      <c r="B12" s="15" t="inlineStr">
        <is>
          <t>2.2. 结构化融资</t>
        </is>
      </c>
      <c r="C12" s="14" t="inlineStr">
        <is>
          <t>资产</t>
        </is>
      </c>
      <c r="D12" s="16" t="n">
        <v>5000</v>
      </c>
      <c r="E12" s="17">
        <f>SUMPRODUCT(折现数据源!L$4:L$67,折现数据源!$D$4:$D$67)</f>
        <v/>
      </c>
      <c r="F12" s="17">
        <f>SUMPRODUCT(折现数据源!L$4:L$67,折现数据源!$D$4:$D$67,折现数据源!$B$4:$B$67)</f>
        <v/>
      </c>
      <c r="G12" s="18">
        <f>IF(E12=0,0,F12/E12)</f>
        <v/>
      </c>
      <c r="H12" s="18">
        <f>IF(I12=0,G12,G12/(1+I12))</f>
        <v/>
      </c>
      <c r="I12" s="18">
        <f>IF(E12=0,0,SUMPRODUCT(折现数据源!L$4:L$67,折现数据源!$C$4:$C$67/100,折现数据源!$D$4:$D$67)/E12)</f>
        <v/>
      </c>
      <c r="J12" s="19">
        <f>IF(SUM($E$5:$E$28)=0,0,E12/SUM($E$5:$E$28))</f>
        <v/>
      </c>
    </row>
    <row r="13">
      <c r="A13" s="14" t="inlineStr">
        <is>
          <t>S01010203000000</t>
        </is>
      </c>
      <c r="B13" s="15" t="inlineStr">
        <is>
          <t>2.3. 同业资产（不含拆放非银）</t>
        </is>
      </c>
      <c r="C13" s="14" t="inlineStr">
        <is>
          <t>资产</t>
        </is>
      </c>
      <c r="D13" s="16" t="n">
        <v>7000</v>
      </c>
      <c r="E13" s="17">
        <f>SUMPRODUCT(折现数据源!M$4:M$67,折现数据源!$D$4:$D$67)</f>
        <v/>
      </c>
      <c r="F13" s="17">
        <f>SUMPRODUCT(折现数据源!M$4:M$67,折现数据源!$D$4:$D$67,折现数据源!$B$4:$B$67)</f>
        <v/>
      </c>
      <c r="G13" s="18">
        <f>IF(E13=0,0,F13/E13)</f>
        <v/>
      </c>
      <c r="H13" s="18">
        <f>IF(I13=0,G13,G13/(1+I13))</f>
        <v/>
      </c>
      <c r="I13" s="18">
        <f>IF(E13=0,0,SUMPRODUCT(折现数据源!M$4:M$67,折现数据源!$C$4:$C$67/100,折现数据源!$D$4:$D$67)/E13)</f>
        <v/>
      </c>
      <c r="J13" s="19">
        <f>IF(SUM($E$5:$E$28)=0,0,E13/SUM($E$5:$E$28))</f>
        <v/>
      </c>
    </row>
    <row r="14">
      <c r="A14" s="14" t="inlineStr">
        <is>
          <t>S01010204000000</t>
        </is>
      </c>
      <c r="B14" s="15" t="inlineStr">
        <is>
          <t>2.4. 存款准备金</t>
        </is>
      </c>
      <c r="C14" s="14" t="inlineStr">
        <is>
          <t>资产</t>
        </is>
      </c>
      <c r="D14" s="16" t="n">
        <v>3000</v>
      </c>
      <c r="E14" s="17">
        <f>SUMPRODUCT(折现数据源!N$4:N$67,折现数据源!$D$4:$D$67)</f>
        <v/>
      </c>
      <c r="F14" s="17">
        <f>SUMPRODUCT(折现数据源!N$4:N$67,折现数据源!$D$4:$D$67,折现数据源!$B$4:$B$67)</f>
        <v/>
      </c>
      <c r="G14" s="18">
        <f>IF(E14=0,0,F14/E14)</f>
        <v/>
      </c>
      <c r="H14" s="18">
        <f>IF(I14=0,G14,G14/(1+I14))</f>
        <v/>
      </c>
      <c r="I14" s="18">
        <f>IF(E14=0,0,SUMPRODUCT(折现数据源!N$4:N$67,折现数据源!$C$4:$C$67/100,折现数据源!$D$4:$D$67)/E14)</f>
        <v/>
      </c>
      <c r="J14" s="19">
        <f>IF(SUM($E$5:$E$28)=0,0,E14/SUM($E$5:$E$28))</f>
        <v/>
      </c>
    </row>
    <row r="15">
      <c r="A15" s="14" t="inlineStr">
        <is>
          <t>S01010301000000</t>
        </is>
      </c>
      <c r="B15" s="15" t="inlineStr">
        <is>
          <t>3.1. FVTPL类资产</t>
        </is>
      </c>
      <c r="C15" s="14" t="inlineStr">
        <is>
          <t>资产</t>
        </is>
      </c>
      <c r="D15" s="16" t="n">
        <v>3000</v>
      </c>
      <c r="E15" s="17">
        <f>SUMPRODUCT(折现数据源!O$4:O$67,折现数据源!$D$4:$D$67)</f>
        <v/>
      </c>
      <c r="F15" s="17">
        <f>SUMPRODUCT(折现数据源!O$4:O$67,折现数据源!$D$4:$D$67,折现数据源!$B$4:$B$67)</f>
        <v/>
      </c>
      <c r="G15" s="18">
        <f>IF(E15=0,0,F15/E15)</f>
        <v/>
      </c>
      <c r="H15" s="18">
        <f>IF(I15=0,G15,G15/(1+I15))</f>
        <v/>
      </c>
      <c r="I15" s="18">
        <f>IF(E15=0,0,SUMPRODUCT(折现数据源!O$4:O$67,折现数据源!$C$4:$C$67/100,折现数据源!$D$4:$D$67)/E15)</f>
        <v/>
      </c>
      <c r="J15" s="19">
        <f>IF(SUM($E$5:$E$28)=0,0,E15/SUM($E$5:$E$28))</f>
        <v/>
      </c>
    </row>
    <row r="16">
      <c r="A16" s="14" t="inlineStr">
        <is>
          <t>S01010302000000</t>
        </is>
      </c>
      <c r="B16" s="15" t="inlineStr">
        <is>
          <t>3.2. 其他非生息资产</t>
        </is>
      </c>
      <c r="C16" s="14" t="inlineStr">
        <is>
          <t>资产</t>
        </is>
      </c>
      <c r="D16" s="16" t="n">
        <v>2000</v>
      </c>
      <c r="E16" s="17">
        <f>SUMPRODUCT(折现数据源!P$4:P$67,折现数据源!$D$4:$D$67)</f>
        <v/>
      </c>
      <c r="F16" s="17">
        <f>SUMPRODUCT(折现数据源!P$4:P$67,折现数据源!$D$4:$D$67,折现数据源!$B$4:$B$67)</f>
        <v/>
      </c>
      <c r="G16" s="18">
        <f>IF(E16=0,0,F16/E16)</f>
        <v/>
      </c>
      <c r="H16" s="18">
        <f>IF(I16=0,G16,G16/(1+I16))</f>
        <v/>
      </c>
      <c r="I16" s="18">
        <f>IF(E16=0,0,SUMPRODUCT(折现数据源!P$4:P$67,折现数据源!$C$4:$C$67/100,折现数据源!$D$4:$D$67)/E16)</f>
        <v/>
      </c>
      <c r="J16" s="19">
        <f>IF(SUM($E$5:$E$28)=0,0,E16/SUM($E$5:$E$28))</f>
        <v/>
      </c>
    </row>
    <row r="17">
      <c r="A17" s="14" t="inlineStr">
        <is>
          <t>S01020100000000</t>
        </is>
      </c>
      <c r="B17" s="15" t="inlineStr">
        <is>
          <t>1. 外币贷款</t>
        </is>
      </c>
      <c r="C17" s="14" t="inlineStr">
        <is>
          <t>资产</t>
        </is>
      </c>
      <c r="D17" s="16" t="n">
        <v>4000</v>
      </c>
      <c r="E17" s="17">
        <f>SUMPRODUCT(折现数据源!Q$4:Q$67,折现数据源!$D$4:$D$67)</f>
        <v/>
      </c>
      <c r="F17" s="17">
        <f>SUMPRODUCT(折现数据源!Q$4:Q$67,折现数据源!$D$4:$D$67,折现数据源!$B$4:$B$67)</f>
        <v/>
      </c>
      <c r="G17" s="18">
        <f>IF(E17=0,0,F17/E17)</f>
        <v/>
      </c>
      <c r="H17" s="18">
        <f>IF(I17=0,G17,G17/(1+I17))</f>
        <v/>
      </c>
      <c r="I17" s="18">
        <f>IF(E17=0,0,SUMPRODUCT(折现数据源!Q$4:Q$67,折现数据源!$C$4:$C$67/100,折现数据源!$D$4:$D$67)/E17)</f>
        <v/>
      </c>
      <c r="J17" s="19">
        <f>IF(SUM($E$5:$E$28)=0,0,E17/SUM($E$5:$E$28))</f>
        <v/>
      </c>
    </row>
    <row r="18">
      <c r="A18" s="14" t="inlineStr">
        <is>
          <t>S01020201000000</t>
        </is>
      </c>
      <c r="B18" s="15" t="inlineStr">
        <is>
          <t>2.1. 外币债券</t>
        </is>
      </c>
      <c r="C18" s="14" t="inlineStr">
        <is>
          <t>资产</t>
        </is>
      </c>
      <c r="D18" s="16" t="n">
        <v>2000</v>
      </c>
      <c r="E18" s="17">
        <f>SUMPRODUCT(折现数据源!R$4:R$67,折现数据源!$D$4:$D$67)</f>
        <v/>
      </c>
      <c r="F18" s="17">
        <f>SUMPRODUCT(折现数据源!R$4:R$67,折现数据源!$D$4:$D$67,折现数据源!$B$4:$B$67)</f>
        <v/>
      </c>
      <c r="G18" s="18">
        <f>IF(E18=0,0,F18/E18)</f>
        <v/>
      </c>
      <c r="H18" s="18">
        <f>IF(I18=0,G18,G18/(1+I18))</f>
        <v/>
      </c>
      <c r="I18" s="18">
        <f>IF(E18=0,0,SUMPRODUCT(折现数据源!R$4:R$67,折现数据源!$C$4:$C$67/100,折现数据源!$D$4:$D$67)/E18)</f>
        <v/>
      </c>
      <c r="J18" s="19">
        <f>IF(SUM($E$5:$E$28)=0,0,E18/SUM($E$5:$E$28))</f>
        <v/>
      </c>
    </row>
    <row r="19">
      <c r="A19" s="14" t="inlineStr">
        <is>
          <t>S01020202000000</t>
        </is>
      </c>
      <c r="B19" s="15" t="inlineStr">
        <is>
          <t>2.2. 同业资产</t>
        </is>
      </c>
      <c r="C19" s="14" t="inlineStr">
        <is>
          <t>资产</t>
        </is>
      </c>
      <c r="D19" s="16" t="n">
        <v>1000</v>
      </c>
      <c r="E19" s="17">
        <f>SUMPRODUCT(折现数据源!S$4:S$67,折现数据源!$D$4:$D$67)</f>
        <v/>
      </c>
      <c r="F19" s="17">
        <f>SUMPRODUCT(折现数据源!S$4:S$67,折现数据源!$D$4:$D$67,折现数据源!$B$4:$B$67)</f>
        <v/>
      </c>
      <c r="G19" s="18">
        <f>IF(E19=0,0,F19/E19)</f>
        <v/>
      </c>
      <c r="H19" s="18">
        <f>IF(I19=0,G19,G19/(1+I19))</f>
        <v/>
      </c>
      <c r="I19" s="18">
        <f>IF(E19=0,0,SUMPRODUCT(折现数据源!S$4:S$67,折现数据源!$C$4:$C$67/100,折现数据源!$D$4:$D$67)/E19)</f>
        <v/>
      </c>
      <c r="J19" s="19">
        <f>IF(SUM($E$5:$E$28)=0,0,E19/SUM($E$5:$E$28))</f>
        <v/>
      </c>
    </row>
    <row r="20">
      <c r="A20" s="14" t="inlineStr">
        <is>
          <t>S01020300000000</t>
        </is>
      </c>
      <c r="B20" s="15" t="inlineStr">
        <is>
          <t>3. 外币非生息资产</t>
        </is>
      </c>
      <c r="C20" s="14" t="inlineStr">
        <is>
          <t>资产</t>
        </is>
      </c>
      <c r="D20" s="16" t="n">
        <v>1000</v>
      </c>
      <c r="E20" s="17">
        <f>SUMPRODUCT(折现数据源!T$4:T$67,折现数据源!$D$4:$D$67)</f>
        <v/>
      </c>
      <c r="F20" s="17">
        <f>SUMPRODUCT(折现数据源!T$4:T$67,折现数据源!$D$4:$D$67,折现数据源!$B$4:$B$67)</f>
        <v/>
      </c>
      <c r="G20" s="18">
        <f>IF(E20=0,0,F20/E20)</f>
        <v/>
      </c>
      <c r="H20" s="18">
        <f>IF(I20=0,G20,G20/(1+I20))</f>
        <v/>
      </c>
      <c r="I20" s="18">
        <f>IF(E20=0,0,SUMPRODUCT(折现数据源!T$4:T$67,折现数据源!$C$4:$C$67/100,折现数据源!$D$4:$D$67)/E20)</f>
        <v/>
      </c>
      <c r="J20" s="19">
        <f>IF(SUM($E$5:$E$28)=0,0,E20/SUM($E$5:$E$28))</f>
        <v/>
      </c>
    </row>
    <row r="21">
      <c r="A21" s="20" t="inlineStr">
        <is>
          <t>S020101010100</t>
        </is>
      </c>
      <c r="B21" s="21" t="inlineStr">
        <is>
          <t>1.1.1 对公活期存款</t>
        </is>
      </c>
      <c r="C21" s="20" t="inlineStr">
        <is>
          <t>负债</t>
        </is>
      </c>
      <c r="D21" s="22" t="n">
        <v>26000</v>
      </c>
      <c r="E21" s="23">
        <f>SUMPRODUCT(折现数据源!U$4:U$67,折现数据源!$D$4:$D$67)</f>
        <v/>
      </c>
      <c r="F21" s="23">
        <f>SUMPRODUCT(折现数据源!U$4:U$67,折现数据源!$D$4:$D$67,折现数据源!$B$4:$B$67)</f>
        <v/>
      </c>
      <c r="G21" s="24">
        <f>IF(E21=0,0,F21/E21)</f>
        <v/>
      </c>
      <c r="H21" s="24">
        <f>IF(I21=0,G21,G21/(1+I21))</f>
        <v/>
      </c>
      <c r="I21" s="24">
        <f>IF(E21=0,0,SUMPRODUCT(折现数据源!U$4:U$67,折现数据源!$C$4:$C$67/100,折现数据源!$D$4:$D$67)/E21)</f>
        <v/>
      </c>
      <c r="J21" s="25">
        <f>IF(SUM($E$5:$E$28)=0,0,E21/SUM($E$5:$E$28))</f>
        <v/>
      </c>
    </row>
    <row r="22">
      <c r="A22" s="20" t="inlineStr">
        <is>
          <t>S020101010200</t>
        </is>
      </c>
      <c r="B22" s="21" t="inlineStr">
        <is>
          <t>1.1.2 对公定期存款</t>
        </is>
      </c>
      <c r="C22" s="20" t="inlineStr">
        <is>
          <t>负债</t>
        </is>
      </c>
      <c r="D22" s="22" t="n">
        <v>22000</v>
      </c>
      <c r="E22" s="23">
        <f>SUMPRODUCT(折现数据源!V$4:V$67,折现数据源!$D$4:$D$67)</f>
        <v/>
      </c>
      <c r="F22" s="23">
        <f>SUMPRODUCT(折现数据源!V$4:V$67,折现数据源!$D$4:$D$67,折现数据源!$B$4:$B$67)</f>
        <v/>
      </c>
      <c r="G22" s="24">
        <f>IF(E22=0,0,F22/E22)</f>
        <v/>
      </c>
      <c r="H22" s="24">
        <f>IF(I22=0,G22,G22/(1+I22))</f>
        <v/>
      </c>
      <c r="I22" s="24">
        <f>IF(E22=0,0,SUMPRODUCT(折现数据源!V$4:V$67,折现数据源!$C$4:$C$67/100,折现数据源!$D$4:$D$67)/E22)</f>
        <v/>
      </c>
      <c r="J22" s="25">
        <f>IF(SUM($E$5:$E$28)=0,0,E22/SUM($E$5:$E$28))</f>
        <v/>
      </c>
    </row>
    <row r="23">
      <c r="A23" s="20" t="inlineStr">
        <is>
          <t>S020101020100</t>
        </is>
      </c>
      <c r="B23" s="21" t="inlineStr">
        <is>
          <t>1.2.1 零售活期存款</t>
        </is>
      </c>
      <c r="C23" s="20" t="inlineStr">
        <is>
          <t>负债</t>
        </is>
      </c>
      <c r="D23" s="22" t="n">
        <v>12000</v>
      </c>
      <c r="E23" s="23">
        <f>SUMPRODUCT(折现数据源!W$4:W$67,折现数据源!$D$4:$D$67)</f>
        <v/>
      </c>
      <c r="F23" s="23">
        <f>SUMPRODUCT(折现数据源!W$4:W$67,折现数据源!$D$4:$D$67,折现数据源!$B$4:$B$67)</f>
        <v/>
      </c>
      <c r="G23" s="24">
        <f>IF(E23=0,0,F23/E23)</f>
        <v/>
      </c>
      <c r="H23" s="24">
        <f>IF(I23=0,G23,G23/(1+I23))</f>
        <v/>
      </c>
      <c r="I23" s="24">
        <f>IF(E23=0,0,SUMPRODUCT(折现数据源!W$4:W$67,折现数据源!$C$4:$C$67/100,折现数据源!$D$4:$D$67)/E23)</f>
        <v/>
      </c>
      <c r="J23" s="25">
        <f>IF(SUM($E$5:$E$28)=0,0,E23/SUM($E$5:$E$28))</f>
        <v/>
      </c>
    </row>
    <row r="24">
      <c r="A24" s="20" t="inlineStr">
        <is>
          <t>S020101020200</t>
        </is>
      </c>
      <c r="B24" s="21" t="inlineStr">
        <is>
          <t>1.2.2 零售定期存款</t>
        </is>
      </c>
      <c r="C24" s="20" t="inlineStr">
        <is>
          <t>负债</t>
        </is>
      </c>
      <c r="D24" s="22" t="n">
        <v>20000</v>
      </c>
      <c r="E24" s="23">
        <f>SUMPRODUCT(折现数据源!X$4:X$67,折现数据源!$D$4:$D$67)</f>
        <v/>
      </c>
      <c r="F24" s="23">
        <f>SUMPRODUCT(折现数据源!X$4:X$67,折现数据源!$D$4:$D$67,折现数据源!$B$4:$B$67)</f>
        <v/>
      </c>
      <c r="G24" s="24">
        <f>IF(E24=0,0,F24/E24)</f>
        <v/>
      </c>
      <c r="H24" s="24">
        <f>IF(I24=0,G24,G24/(1+I24))</f>
        <v/>
      </c>
      <c r="I24" s="24">
        <f>IF(E24=0,0,SUMPRODUCT(折现数据源!X$4:X$67,折现数据源!$C$4:$C$67/100,折现数据源!$D$4:$D$67)/E24)</f>
        <v/>
      </c>
      <c r="J24" s="25">
        <f>IF(SUM($E$5:$E$28)=0,0,E24/SUM($E$5:$E$28))</f>
        <v/>
      </c>
    </row>
    <row r="25">
      <c r="A25" s="20" t="inlineStr">
        <is>
          <t>S02010200000000</t>
        </is>
      </c>
      <c r="B25" s="21" t="inlineStr">
        <is>
          <t>2. 人民币市场化负债</t>
        </is>
      </c>
      <c r="C25" s="20" t="inlineStr">
        <is>
          <t>负债</t>
        </is>
      </c>
      <c r="D25" s="22" t="n">
        <v>12000</v>
      </c>
      <c r="E25" s="23">
        <f>SUMPRODUCT(折现数据源!Y$4:Y$67,折现数据源!$D$4:$D$67)</f>
        <v/>
      </c>
      <c r="F25" s="23">
        <f>SUMPRODUCT(折现数据源!Y$4:Y$67,折现数据源!$D$4:$D$67,折现数据源!$B$4:$B$67)</f>
        <v/>
      </c>
      <c r="G25" s="24">
        <f>IF(E25=0,0,F25/E25)</f>
        <v/>
      </c>
      <c r="H25" s="24">
        <f>IF(I25=0,G25,G25/(1+I25))</f>
        <v/>
      </c>
      <c r="I25" s="24">
        <f>IF(E25=0,0,SUMPRODUCT(折现数据源!Y$4:Y$67,折现数据源!$C$4:$C$67/100,折现数据源!$D$4:$D$67)/E25)</f>
        <v/>
      </c>
      <c r="J25" s="25">
        <f>IF(SUM($E$5:$E$28)=0,0,E25/SUM($E$5:$E$28))</f>
        <v/>
      </c>
    </row>
    <row r="26">
      <c r="A26" s="20" t="inlineStr">
        <is>
          <t>S02020100000000</t>
        </is>
      </c>
      <c r="B26" s="21" t="inlineStr">
        <is>
          <t>1. 外币存款</t>
        </is>
      </c>
      <c r="C26" s="20" t="inlineStr">
        <is>
          <t>负债</t>
        </is>
      </c>
      <c r="D26" s="22" t="n">
        <v>4000</v>
      </c>
      <c r="E26" s="23">
        <f>SUMPRODUCT(折现数据源!Z$4:Z$67,折现数据源!$D$4:$D$67)</f>
        <v/>
      </c>
      <c r="F26" s="23">
        <f>SUMPRODUCT(折现数据源!Z$4:Z$67,折现数据源!$D$4:$D$67,折现数据源!$B$4:$B$67)</f>
        <v/>
      </c>
      <c r="G26" s="24">
        <f>IF(E26=0,0,F26/E26)</f>
        <v/>
      </c>
      <c r="H26" s="24">
        <f>IF(I26=0,G26,G26/(1+I26))</f>
        <v/>
      </c>
      <c r="I26" s="24">
        <f>IF(E26=0,0,SUMPRODUCT(折现数据源!Z$4:Z$67,折现数据源!$C$4:$C$67/100,折现数据源!$D$4:$D$67)/E26)</f>
        <v/>
      </c>
      <c r="J26" s="25">
        <f>IF(SUM($E$5:$E$28)=0,0,E26/SUM($E$5:$E$28))</f>
        <v/>
      </c>
    </row>
    <row r="27">
      <c r="A27" s="20" t="inlineStr">
        <is>
          <t>S02020200000000</t>
        </is>
      </c>
      <c r="B27" s="21" t="inlineStr">
        <is>
          <t>2. 外币市场化负债</t>
        </is>
      </c>
      <c r="C27" s="20" t="inlineStr">
        <is>
          <t>负债</t>
        </is>
      </c>
      <c r="D27" s="22" t="n">
        <v>2000</v>
      </c>
      <c r="E27" s="23">
        <f>SUMPRODUCT(折现数据源!AA$4:AA$67,折现数据源!$D$4:$D$67)</f>
        <v/>
      </c>
      <c r="F27" s="23">
        <f>SUMPRODUCT(折现数据源!AA$4:AA$67,折现数据源!$D$4:$D$67,折现数据源!$B$4:$B$67)</f>
        <v/>
      </c>
      <c r="G27" s="24">
        <f>IF(E27=0,0,F27/E27)</f>
        <v/>
      </c>
      <c r="H27" s="24">
        <f>IF(I27=0,G27,G27/(1+I27))</f>
        <v/>
      </c>
      <c r="I27" s="24">
        <f>IF(E27=0,0,SUMPRODUCT(折现数据源!AA$4:AA$67,折现数据源!$C$4:$C$67/100,折现数据源!$D$4:$D$67)/E27)</f>
        <v/>
      </c>
      <c r="J27" s="25">
        <f>IF(SUM($E$5:$E$28)=0,0,E27/SUM($E$5:$E$28))</f>
        <v/>
      </c>
    </row>
    <row r="28">
      <c r="A28" s="26" t="inlineStr">
        <is>
          <t>S03000000000000</t>
        </is>
      </c>
      <c r="B28" s="27" t="inlineStr">
        <is>
          <t>所有者权益</t>
        </is>
      </c>
      <c r="C28" s="26" t="inlineStr">
        <is>
          <t>权益</t>
        </is>
      </c>
      <c r="D28" s="28" t="n">
        <v>10000</v>
      </c>
      <c r="E28" s="29">
        <f>SUMPRODUCT(折现数据源!AB$4:AB$67,折现数据源!$D$4:$D$67)</f>
        <v/>
      </c>
      <c r="F28" s="29">
        <f>SUMPRODUCT(折现数据源!AB$4:AB$67,折现数据源!$D$4:$D$67,折现数据源!$B$4:$B$67)</f>
        <v/>
      </c>
      <c r="G28" s="30">
        <f>IF(E28=0,0,F28/E28)</f>
        <v/>
      </c>
      <c r="H28" s="30">
        <f>IF(I28=0,G28,G28/(1+I28))</f>
        <v/>
      </c>
      <c r="I28" s="30">
        <f>IF(E28=0,0,SUMPRODUCT(折现数据源!AB$4:AB$67,折现数据源!$C$4:$C$67/100,折现数据源!$D$4:$D$67)/E28)</f>
        <v/>
      </c>
      <c r="J28" s="31">
        <f>IF(SUM($E$5:$E$28)=0,0,E28/SUM($E$5:$E$28))</f>
        <v/>
      </c>
    </row>
    <row r="29">
      <c r="A29" s="32" t="inlineStr">
        <is>
          <t>组合汇总</t>
        </is>
      </c>
      <c r="B29" s="32" t="n"/>
      <c r="C29" s="32" t="n"/>
      <c r="D29" s="32" t="n"/>
    </row>
    <row r="30">
      <c r="E30" s="33">
        <f>SUMIF($C$5:$C$28,"资产",$E$5:$E$28)</f>
        <v/>
      </c>
      <c r="F30" s="34">
        <f>SUMIF($C$5:$C$28,"资产",$F$5:$F$28)</f>
        <v/>
      </c>
      <c r="G30" s="35">
        <f>IF(E30=0,0,F30/E30)</f>
        <v/>
      </c>
      <c r="H30" s="35">
        <f>IF(I30=0,G30,G30/(1+I30))</f>
        <v/>
      </c>
      <c r="I30" s="35">
        <f>IF(E30=0,0,SUMPRODUCT(($C$5:$C$28="资产")*$I$5:$I$28*$E$5:$E$28)/E30)</f>
        <v/>
      </c>
      <c r="J30" s="36">
        <f>IF(SUM($E$5:$E$28)=0,0,E30/SUM($E$5:$E$28))</f>
        <v/>
      </c>
    </row>
    <row r="31">
      <c r="E31" s="37">
        <f>SUMIF($C$5:$C$28,"负债",$E$5:$E$28)</f>
        <v/>
      </c>
      <c r="F31" s="38">
        <f>SUMIF($C$5:$C$28,"负债",$F$5:$F$28)</f>
        <v/>
      </c>
      <c r="G31" s="39">
        <f>IF(E31=0,0,F31/E31)</f>
        <v/>
      </c>
      <c r="H31" s="39">
        <f>IF(I31=0,G31,G31/(1+I31))</f>
        <v/>
      </c>
      <c r="I31" s="39">
        <f>IF(E31=0,0,SUMPRODUCT(($C$5:$C$28="负债")*$I$5:$I$28*$E$5:$E$28)/E31)</f>
        <v/>
      </c>
      <c r="J31" s="40">
        <f>IF(SUM($E$5:$E$28)=0,0,E31/SUM($E$5:$E$28))</f>
        <v/>
      </c>
    </row>
    <row r="32">
      <c r="E32" s="41">
        <f>SUMIF($C$5:$C$28,"权益",$E$5:$E$28)</f>
        <v/>
      </c>
      <c r="F32" s="42">
        <f>SUMIF($C$5:$C$28,"权益",$F$5:$F$28)</f>
        <v/>
      </c>
      <c r="G32" s="43">
        <f>IF(E32=0,0,F32/E32)</f>
        <v/>
      </c>
      <c r="H32" s="43">
        <f>IF(I32=0,G32,G32/(1+I32))</f>
        <v/>
      </c>
      <c r="I32" s="43">
        <f>IF(E32=0,0,SUMPRODUCT(($C$5:$C$28="权益")*$I$5:$I$28*$E$5:$E$28)/E32)</f>
        <v/>
      </c>
      <c r="J32" s="44">
        <f>IF(SUM($E$5:$E$28)=0,0,E32/SUM($E$5:$E$28))</f>
        <v/>
      </c>
    </row>
    <row r="33">
      <c r="E33" s="45" t="inlineStr">
        <is>
          <t>DA - DL</t>
        </is>
      </c>
      <c r="F33" s="45" t="n"/>
      <c r="G33" s="46">
        <f>G30-G31</f>
        <v/>
      </c>
      <c r="H33" s="46">
        <f>H30-H31</f>
        <v/>
      </c>
      <c r="I33" s="45" t="inlineStr"/>
      <c r="J33" s="45" t="inlineStr"/>
    </row>
  </sheetData>
  <mergeCells count="3">
    <mergeCell ref="A29:D29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</cols>
  <sheetData>
    <row r="1" ht="30" customHeight="1">
      <c r="A1" s="1" t="inlineStr">
        <is>
          <t>久期缺口 (Duration Gap) 与 NII 利率敏感性</t>
        </is>
      </c>
    </row>
    <row r="2">
      <c r="A2" s="2" t="inlineStr">
        <is>
          <t>GAP = DA - DL  |  ΔNII/NII ≈ -GAP × Δr  |  引用「麦考林久期计算表」汇总行，联动更新</t>
        </is>
      </c>
    </row>
    <row r="4" ht="32" customHeight="1">
      <c r="A4" s="13" t="inlineStr">
        <is>
          <t>情景</t>
        </is>
      </c>
      <c r="B4" s="13" t="inlineStr">
        <is>
          <t>Δr (%)</t>
        </is>
      </c>
      <c r="C4" s="13" t="inlineStr">
        <is>
          <t>资产久期 DA (年)</t>
        </is>
      </c>
      <c r="D4" s="13" t="inlineStr">
        <is>
          <t>负债久期 DL (年)</t>
        </is>
      </c>
      <c r="E4" s="13" t="inlineStr">
        <is>
          <t>久期缺口 GAP (年)</t>
        </is>
      </c>
      <c r="F4" s="13" t="inlineStr">
        <is>
          <t>NII 敏感度 (%)</t>
        </is>
      </c>
      <c r="G4" s="13" t="inlineStr">
        <is>
          <t>说明</t>
        </is>
      </c>
    </row>
    <row r="5">
      <c r="A5" s="47" t="inlineStr">
        <is>
          <t>基准情景</t>
        </is>
      </c>
      <c r="B5" s="48" t="n">
        <v>0</v>
      </c>
      <c r="C5" s="49">
        <f>'麦考林久期计算表'!G30</f>
        <v/>
      </c>
      <c r="D5" s="49">
        <f>'麦考林久期计算表'!G31</f>
        <v/>
      </c>
      <c r="E5" s="50">
        <f>C5-D5</f>
        <v/>
      </c>
      <c r="F5" s="51">
        <f>-E5*B5/100*100</f>
        <v/>
      </c>
      <c r="G5" s="52" t="inlineStr">
        <is>
          <t>基准, 无冲击</t>
        </is>
      </c>
    </row>
    <row r="6">
      <c r="A6" s="47" t="inlineStr">
        <is>
          <t>平行上移 250bp</t>
        </is>
      </c>
      <c r="B6" s="48" t="n">
        <v>2.5</v>
      </c>
      <c r="C6" s="49">
        <f>'麦考林久期计算表'!G30</f>
        <v/>
      </c>
      <c r="D6" s="49">
        <f>'麦考林久期计算表'!G31</f>
        <v/>
      </c>
      <c r="E6" s="53">
        <f>C6-D6</f>
        <v/>
      </c>
      <c r="F6" s="54">
        <f>-E6*B6/100*100</f>
        <v/>
      </c>
      <c r="G6" s="52" t="inlineStr">
        <is>
          <t>利率上行 → 正缺口银行 NII 受损</t>
        </is>
      </c>
    </row>
    <row r="7">
      <c r="A7" s="47" t="inlineStr">
        <is>
          <t>平行下移 250bp</t>
        </is>
      </c>
      <c r="B7" s="48" t="n">
        <v>-2.5</v>
      </c>
      <c r="C7" s="49">
        <f>'麦考林久期计算表'!G30</f>
        <v/>
      </c>
      <c r="D7" s="49">
        <f>'麦考林久期计算表'!G31</f>
        <v/>
      </c>
      <c r="E7" s="53">
        <f>C7-D7</f>
        <v/>
      </c>
      <c r="F7" s="54">
        <f>-E7*B7/100*100</f>
        <v/>
      </c>
      <c r="G7" s="52" t="inlineStr">
        <is>
          <t>利率下行 → 正缺口银行 NII 受益</t>
        </is>
      </c>
    </row>
    <row r="8">
      <c r="A8" s="47" t="inlineStr">
        <is>
          <t>变陡峭</t>
        </is>
      </c>
      <c r="B8" s="48" t="n">
        <v>0.5</v>
      </c>
      <c r="C8" s="49">
        <f>'麦考林久期计算表'!G30</f>
        <v/>
      </c>
      <c r="D8" s="49">
        <f>'麦考林久期计算表'!G31</f>
        <v/>
      </c>
      <c r="E8" s="53">
        <f>C8-D8</f>
        <v/>
      </c>
      <c r="F8" s="54">
        <f>-E8*B8/100*100</f>
        <v/>
      </c>
      <c r="G8" s="52" t="inlineStr">
        <is>
          <t>长期利率上行, 加权 Δr ≈ +50bp</t>
        </is>
      </c>
    </row>
    <row r="9">
      <c r="A9" s="47" t="inlineStr">
        <is>
          <t>变平坦</t>
        </is>
      </c>
      <c r="B9" s="48" t="n">
        <v>-0.5</v>
      </c>
      <c r="C9" s="49">
        <f>'麦考林久期计算表'!G30</f>
        <v/>
      </c>
      <c r="D9" s="49">
        <f>'麦考林久期计算表'!G31</f>
        <v/>
      </c>
      <c r="E9" s="53">
        <f>C9-D9</f>
        <v/>
      </c>
      <c r="F9" s="54">
        <f>-E9*B9/100*100</f>
        <v/>
      </c>
      <c r="G9" s="52" t="inlineStr">
        <is>
          <t>短期利率下行, 加权 Δr ≈ -50bp</t>
        </is>
      </c>
    </row>
    <row r="12">
      <c r="A12" s="55" t="inlineStr">
        <is>
          <t>久期缺口解读 (自动联动)</t>
        </is>
      </c>
    </row>
    <row r="13">
      <c r="A13" s="56" t="inlineStr">
        <is>
          <t>久期缺口类型</t>
        </is>
      </c>
      <c r="B13" s="57">
        <f>IF('麦考林久期计算表'!$G$33&gt;0,"正缺口 (资产久期 &gt; 负债久期)",IF('麦考林久期计算表'!$G$33&lt;0,"负缺口 (资产久期 &lt; 负债久期)","零缺口"))</f>
        <v/>
      </c>
      <c r="C13" s="58" t="n"/>
      <c r="D13" s="58" t="n"/>
      <c r="E13" s="58" t="n"/>
      <c r="F13" s="58" t="n"/>
      <c r="G13" s="58" t="n"/>
    </row>
    <row r="14">
      <c r="A14" s="56" t="inlineStr">
        <is>
          <t>GAP 值</t>
        </is>
      </c>
      <c r="B14" s="57">
        <f>TEXT('麦考林久期计算表'!$G$33,"+0.0000;-0.0000")&amp;" 年"</f>
        <v/>
      </c>
      <c r="C14" s="58" t="n"/>
      <c r="D14" s="58" t="n"/>
      <c r="E14" s="58" t="n"/>
      <c r="F14" s="58" t="n"/>
      <c r="G14" s="58" t="n"/>
    </row>
    <row r="15">
      <c r="A15" s="56" t="inlineStr">
        <is>
          <t>利率 +25bp 的 NII 影响</t>
        </is>
      </c>
      <c r="B15" s="57">
        <f>TEXT(-'麦考林久期计算表'!$G$33*0.025*100,"+0.0000")&amp;"% ("&amp;IF(-'麦考林久期计算表'!$G$33&gt;0,"NII 受损","NII 受益")&amp;")"</f>
        <v/>
      </c>
      <c r="C15" s="58" t="n"/>
      <c r="D15" s="58" t="n"/>
      <c r="E15" s="58" t="n"/>
      <c r="F15" s="58" t="n"/>
      <c r="G15" s="58" t="n"/>
    </row>
    <row r="16">
      <c r="A16" s="56" t="inlineStr">
        <is>
          <t>利率 -25bp 的 NII 影响</t>
        </is>
      </c>
      <c r="B16" s="57">
        <f>TEXT('麦考林久期计算表'!$G$33*0.025*100,"+0.0000")&amp;"% ("&amp;IF('麦考林久期计算表'!$G$33&gt;0,"NII 受损","NII 受益")&amp;")"</f>
        <v/>
      </c>
      <c r="C16" s="58" t="n"/>
      <c r="D16" s="58" t="n"/>
      <c r="E16" s="58" t="n"/>
      <c r="F16" s="58" t="n"/>
      <c r="G16" s="58" t="n"/>
    </row>
    <row r="17">
      <c r="A17" s="56" t="inlineStr">
        <is>
          <t>管理含义</t>
        </is>
      </c>
      <c r="B17" s="57">
        <f>IF('麦考林久期计算表'!$G$33&gt;0,"正缺口银行: 利率上行期重定价压力, 需通过拉长久期负债或配置长久期资产对冲","负缺口银行: 利率下行期承压, 负债重定价快于资产, 建议缩短资产久期")</f>
        <v/>
      </c>
      <c r="C17" s="58" t="n"/>
      <c r="D17" s="58" t="n"/>
      <c r="E17" s="58" t="n"/>
      <c r="F17" s="58" t="n"/>
      <c r="G17" s="58" t="n"/>
    </row>
    <row r="18">
      <c r="A18" s="56" t="inlineStr">
        <is>
          <t>调节手段</t>
        </is>
      </c>
      <c r="B18" s="57" t="inlineStr">
        <is>
          <t>① 发行长期同业存单 / 金融债拉长久期负债  ② 配置长久期债券 / 拉长久期贷款  ③ 利率衍生品对冲 (国债期货 / 利率互换)</t>
        </is>
      </c>
      <c r="C18" s="58" t="n"/>
      <c r="D18" s="58" t="n"/>
      <c r="E18" s="58" t="n"/>
      <c r="F18" s="58" t="n"/>
      <c r="G18" s="58" t="n"/>
    </row>
  </sheetData>
  <mergeCells count="9">
    <mergeCell ref="B16:G16"/>
    <mergeCell ref="A1:G1"/>
    <mergeCell ref="B14:G14"/>
    <mergeCell ref="B17:G17"/>
    <mergeCell ref="A12:G12"/>
    <mergeCell ref="A2:G2"/>
    <mergeCell ref="B18:G18"/>
    <mergeCell ref="B13:G13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6" customWidth="1" min="7" max="7"/>
    <col width="14" customWidth="1" min="8" max="8"/>
  </cols>
  <sheetData>
    <row r="1" ht="30" customHeight="1">
      <c r="A1" s="1" t="inlineStr">
        <is>
          <t>现金流期限分布 (按 PV 汇总) — 久期成因拆解</t>
        </is>
      </c>
    </row>
    <row r="2">
      <c r="A2" s="2" t="inlineStr">
        <is>
          <t>Σ 各账户现金流 × 折现因子, 按期限汇总  |  引用「折现数据源」sheet，联动更新</t>
        </is>
      </c>
    </row>
    <row r="4" ht="32" customHeight="1">
      <c r="A4" s="13" t="inlineStr">
        <is>
          <t>期限</t>
        </is>
      </c>
      <c r="B4" s="13" t="inlineStr">
        <is>
          <t>年数 (t)</t>
        </is>
      </c>
      <c r="C4" s="13" t="inlineStr">
        <is>
          <t>利率 (%)</t>
        </is>
      </c>
      <c r="D4" s="13" t="inlineStr">
        <is>
          <t>折现因子</t>
        </is>
      </c>
      <c r="E4" s="13" t="inlineStr">
        <is>
          <t>资产 PV (亿元)</t>
        </is>
      </c>
      <c r="F4" s="13" t="inlineStr">
        <is>
          <t>负债 PV (亿元)</t>
        </is>
      </c>
      <c r="G4" s="13" t="inlineStr">
        <is>
          <t>资产 PV 占比 (%)</t>
        </is>
      </c>
      <c r="H4" s="13" t="inlineStr">
        <is>
          <t>累计占比 (%)</t>
        </is>
      </c>
    </row>
    <row r="5">
      <c r="A5" s="26">
        <f>折现数据源!A4</f>
        <v/>
      </c>
      <c r="B5" s="59">
        <f>折现数据源!B4</f>
        <v/>
      </c>
      <c r="C5" s="60">
        <f>折现数据源!C4</f>
        <v/>
      </c>
      <c r="D5" s="61">
        <f>折现数据源!D4</f>
        <v/>
      </c>
      <c r="E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" s="31">
        <f>IF(SUM($E$5:$E$68)=0,0,E5/SUM($E$5:$E$68))</f>
        <v/>
      </c>
      <c r="H5" s="31">
        <f>G5</f>
        <v/>
      </c>
    </row>
    <row r="6">
      <c r="A6" s="26">
        <f>折现数据源!A5</f>
        <v/>
      </c>
      <c r="B6" s="59">
        <f>折现数据源!B5</f>
        <v/>
      </c>
      <c r="C6" s="60">
        <f>折现数据源!C5</f>
        <v/>
      </c>
      <c r="D6" s="61">
        <f>折现数据源!D5</f>
        <v/>
      </c>
      <c r="E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" s="31">
        <f>IF(SUM($E$5:$E$68)=0,0,E6/SUM($E$5:$E$68))</f>
        <v/>
      </c>
      <c r="H6" s="31">
        <f>H5+G6</f>
        <v/>
      </c>
    </row>
    <row r="7">
      <c r="A7" s="26">
        <f>折现数据源!A6</f>
        <v/>
      </c>
      <c r="B7" s="59">
        <f>折现数据源!B6</f>
        <v/>
      </c>
      <c r="C7" s="60">
        <f>折现数据源!C6</f>
        <v/>
      </c>
      <c r="D7" s="61">
        <f>折现数据源!D6</f>
        <v/>
      </c>
      <c r="E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7" s="31">
        <f>IF(SUM($E$5:$E$68)=0,0,E7/SUM($E$5:$E$68))</f>
        <v/>
      </c>
      <c r="H7" s="31">
        <f>H6+G7</f>
        <v/>
      </c>
    </row>
    <row r="8">
      <c r="A8" s="26">
        <f>折现数据源!A7</f>
        <v/>
      </c>
      <c r="B8" s="59">
        <f>折现数据源!B7</f>
        <v/>
      </c>
      <c r="C8" s="60">
        <f>折现数据源!C7</f>
        <v/>
      </c>
      <c r="D8" s="61">
        <f>折现数据源!D7</f>
        <v/>
      </c>
      <c r="E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8" s="31">
        <f>IF(SUM($E$5:$E$68)=0,0,E8/SUM($E$5:$E$68))</f>
        <v/>
      </c>
      <c r="H8" s="31">
        <f>H7+G8</f>
        <v/>
      </c>
    </row>
    <row r="9">
      <c r="A9" s="26">
        <f>折现数据源!A8</f>
        <v/>
      </c>
      <c r="B9" s="59">
        <f>折现数据源!B8</f>
        <v/>
      </c>
      <c r="C9" s="60">
        <f>折现数据源!C8</f>
        <v/>
      </c>
      <c r="D9" s="61">
        <f>折现数据源!D8</f>
        <v/>
      </c>
      <c r="E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9" s="31">
        <f>IF(SUM($E$5:$E$68)=0,0,E9/SUM($E$5:$E$68))</f>
        <v/>
      </c>
      <c r="H9" s="31">
        <f>H8+G9</f>
        <v/>
      </c>
    </row>
    <row r="10">
      <c r="A10" s="26">
        <f>折现数据源!A9</f>
        <v/>
      </c>
      <c r="B10" s="59">
        <f>折现数据源!B9</f>
        <v/>
      </c>
      <c r="C10" s="60">
        <f>折现数据源!C9</f>
        <v/>
      </c>
      <c r="D10" s="61">
        <f>折现数据源!D9</f>
        <v/>
      </c>
      <c r="E1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0" s="31">
        <f>IF(SUM($E$5:$E$68)=0,0,E10/SUM($E$5:$E$68))</f>
        <v/>
      </c>
      <c r="H10" s="31">
        <f>H9+G10</f>
        <v/>
      </c>
    </row>
    <row r="11">
      <c r="A11" s="26">
        <f>折现数据源!A10</f>
        <v/>
      </c>
      <c r="B11" s="59">
        <f>折现数据源!B10</f>
        <v/>
      </c>
      <c r="C11" s="60">
        <f>折现数据源!C10</f>
        <v/>
      </c>
      <c r="D11" s="61">
        <f>折现数据源!D10</f>
        <v/>
      </c>
      <c r="E1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1" s="31">
        <f>IF(SUM($E$5:$E$68)=0,0,E11/SUM($E$5:$E$68))</f>
        <v/>
      </c>
      <c r="H11" s="31">
        <f>H10+G11</f>
        <v/>
      </c>
    </row>
    <row r="12">
      <c r="A12" s="26">
        <f>折现数据源!A11</f>
        <v/>
      </c>
      <c r="B12" s="59">
        <f>折现数据源!B11</f>
        <v/>
      </c>
      <c r="C12" s="60">
        <f>折现数据源!C11</f>
        <v/>
      </c>
      <c r="D12" s="61">
        <f>折现数据源!D11</f>
        <v/>
      </c>
      <c r="E1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2" s="31">
        <f>IF(SUM($E$5:$E$68)=0,0,E12/SUM($E$5:$E$68))</f>
        <v/>
      </c>
      <c r="H12" s="31">
        <f>H11+G12</f>
        <v/>
      </c>
    </row>
    <row r="13">
      <c r="A13" s="26">
        <f>折现数据源!A12</f>
        <v/>
      </c>
      <c r="B13" s="59">
        <f>折现数据源!B12</f>
        <v/>
      </c>
      <c r="C13" s="60">
        <f>折现数据源!C12</f>
        <v/>
      </c>
      <c r="D13" s="61">
        <f>折现数据源!D12</f>
        <v/>
      </c>
      <c r="E1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3" s="31">
        <f>IF(SUM($E$5:$E$68)=0,0,E13/SUM($E$5:$E$68))</f>
        <v/>
      </c>
      <c r="H13" s="31">
        <f>H12+G13</f>
        <v/>
      </c>
    </row>
    <row r="14">
      <c r="A14" s="26">
        <f>折现数据源!A13</f>
        <v/>
      </c>
      <c r="B14" s="59">
        <f>折现数据源!B13</f>
        <v/>
      </c>
      <c r="C14" s="60">
        <f>折现数据源!C13</f>
        <v/>
      </c>
      <c r="D14" s="61">
        <f>折现数据源!D13</f>
        <v/>
      </c>
      <c r="E1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4" s="31">
        <f>IF(SUM($E$5:$E$68)=0,0,E14/SUM($E$5:$E$68))</f>
        <v/>
      </c>
      <c r="H14" s="31">
        <f>H13+G14</f>
        <v/>
      </c>
    </row>
    <row r="15">
      <c r="A15" s="26">
        <f>折现数据源!A14</f>
        <v/>
      </c>
      <c r="B15" s="59">
        <f>折现数据源!B14</f>
        <v/>
      </c>
      <c r="C15" s="60">
        <f>折现数据源!C14</f>
        <v/>
      </c>
      <c r="D15" s="61">
        <f>折现数据源!D14</f>
        <v/>
      </c>
      <c r="E1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5" s="31">
        <f>IF(SUM($E$5:$E$68)=0,0,E15/SUM($E$5:$E$68))</f>
        <v/>
      </c>
      <c r="H15" s="31">
        <f>H14+G15</f>
        <v/>
      </c>
    </row>
    <row r="16">
      <c r="A16" s="26">
        <f>折现数据源!A15</f>
        <v/>
      </c>
      <c r="B16" s="59">
        <f>折现数据源!B15</f>
        <v/>
      </c>
      <c r="C16" s="60">
        <f>折现数据源!C15</f>
        <v/>
      </c>
      <c r="D16" s="61">
        <f>折现数据源!D15</f>
        <v/>
      </c>
      <c r="E1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6" s="31">
        <f>IF(SUM($E$5:$E$68)=0,0,E16/SUM($E$5:$E$68))</f>
        <v/>
      </c>
      <c r="H16" s="31">
        <f>H15+G16</f>
        <v/>
      </c>
    </row>
    <row r="17">
      <c r="A17" s="26">
        <f>折现数据源!A16</f>
        <v/>
      </c>
      <c r="B17" s="59">
        <f>折现数据源!B16</f>
        <v/>
      </c>
      <c r="C17" s="60">
        <f>折现数据源!C16</f>
        <v/>
      </c>
      <c r="D17" s="61">
        <f>折现数据源!D16</f>
        <v/>
      </c>
      <c r="E1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7" s="31">
        <f>IF(SUM($E$5:$E$68)=0,0,E17/SUM($E$5:$E$68))</f>
        <v/>
      </c>
      <c r="H17" s="31">
        <f>H16+G17</f>
        <v/>
      </c>
    </row>
    <row r="18">
      <c r="A18" s="26">
        <f>折现数据源!A17</f>
        <v/>
      </c>
      <c r="B18" s="59">
        <f>折现数据源!B17</f>
        <v/>
      </c>
      <c r="C18" s="60">
        <f>折现数据源!C17</f>
        <v/>
      </c>
      <c r="D18" s="61">
        <f>折现数据源!D17</f>
        <v/>
      </c>
      <c r="E1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8" s="31">
        <f>IF(SUM($E$5:$E$68)=0,0,E18/SUM($E$5:$E$68))</f>
        <v/>
      </c>
      <c r="H18" s="31">
        <f>H17+G18</f>
        <v/>
      </c>
    </row>
    <row r="19">
      <c r="A19" s="26">
        <f>折现数据源!A18</f>
        <v/>
      </c>
      <c r="B19" s="59">
        <f>折现数据源!B18</f>
        <v/>
      </c>
      <c r="C19" s="60">
        <f>折现数据源!C18</f>
        <v/>
      </c>
      <c r="D19" s="61">
        <f>折现数据源!D18</f>
        <v/>
      </c>
      <c r="E1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1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19" s="31">
        <f>IF(SUM($E$5:$E$68)=0,0,E19/SUM($E$5:$E$68))</f>
        <v/>
      </c>
      <c r="H19" s="31">
        <f>H18+G19</f>
        <v/>
      </c>
    </row>
    <row r="20">
      <c r="A20" s="26">
        <f>折现数据源!A19</f>
        <v/>
      </c>
      <c r="B20" s="59">
        <f>折现数据源!B19</f>
        <v/>
      </c>
      <c r="C20" s="60">
        <f>折现数据源!C19</f>
        <v/>
      </c>
      <c r="D20" s="61">
        <f>折现数据源!D19</f>
        <v/>
      </c>
      <c r="E2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0" s="31">
        <f>IF(SUM($E$5:$E$68)=0,0,E20/SUM($E$5:$E$68))</f>
        <v/>
      </c>
      <c r="H20" s="31">
        <f>H19+G20</f>
        <v/>
      </c>
    </row>
    <row r="21">
      <c r="A21" s="26">
        <f>折现数据源!A20</f>
        <v/>
      </c>
      <c r="B21" s="59">
        <f>折现数据源!B20</f>
        <v/>
      </c>
      <c r="C21" s="60">
        <f>折现数据源!C20</f>
        <v/>
      </c>
      <c r="D21" s="61">
        <f>折现数据源!D20</f>
        <v/>
      </c>
      <c r="E2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1" s="31">
        <f>IF(SUM($E$5:$E$68)=0,0,E21/SUM($E$5:$E$68))</f>
        <v/>
      </c>
      <c r="H21" s="31">
        <f>H20+G21</f>
        <v/>
      </c>
    </row>
    <row r="22">
      <c r="A22" s="26">
        <f>折现数据源!A21</f>
        <v/>
      </c>
      <c r="B22" s="59">
        <f>折现数据源!B21</f>
        <v/>
      </c>
      <c r="C22" s="60">
        <f>折现数据源!C21</f>
        <v/>
      </c>
      <c r="D22" s="61">
        <f>折现数据源!D21</f>
        <v/>
      </c>
      <c r="E2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2" s="31">
        <f>IF(SUM($E$5:$E$68)=0,0,E22/SUM($E$5:$E$68))</f>
        <v/>
      </c>
      <c r="H22" s="31">
        <f>H21+G22</f>
        <v/>
      </c>
    </row>
    <row r="23">
      <c r="A23" s="26">
        <f>折现数据源!A22</f>
        <v/>
      </c>
      <c r="B23" s="59">
        <f>折现数据源!B22</f>
        <v/>
      </c>
      <c r="C23" s="60">
        <f>折现数据源!C22</f>
        <v/>
      </c>
      <c r="D23" s="61">
        <f>折现数据源!D22</f>
        <v/>
      </c>
      <c r="E2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3" s="31">
        <f>IF(SUM($E$5:$E$68)=0,0,E23/SUM($E$5:$E$68))</f>
        <v/>
      </c>
      <c r="H23" s="31">
        <f>H22+G23</f>
        <v/>
      </c>
    </row>
    <row r="24">
      <c r="A24" s="26">
        <f>折现数据源!A23</f>
        <v/>
      </c>
      <c r="B24" s="59">
        <f>折现数据源!B23</f>
        <v/>
      </c>
      <c r="C24" s="60">
        <f>折现数据源!C23</f>
        <v/>
      </c>
      <c r="D24" s="61">
        <f>折现数据源!D23</f>
        <v/>
      </c>
      <c r="E2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4" s="31">
        <f>IF(SUM($E$5:$E$68)=0,0,E24/SUM($E$5:$E$68))</f>
        <v/>
      </c>
      <c r="H24" s="31">
        <f>H23+G24</f>
        <v/>
      </c>
    </row>
    <row r="25">
      <c r="A25" s="26">
        <f>折现数据源!A24</f>
        <v/>
      </c>
      <c r="B25" s="59">
        <f>折现数据源!B24</f>
        <v/>
      </c>
      <c r="C25" s="60">
        <f>折现数据源!C24</f>
        <v/>
      </c>
      <c r="D25" s="61">
        <f>折现数据源!D24</f>
        <v/>
      </c>
      <c r="E2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5" s="31">
        <f>IF(SUM($E$5:$E$68)=0,0,E25/SUM($E$5:$E$68))</f>
        <v/>
      </c>
      <c r="H25" s="31">
        <f>H24+G25</f>
        <v/>
      </c>
    </row>
    <row r="26">
      <c r="A26" s="26">
        <f>折现数据源!A25</f>
        <v/>
      </c>
      <c r="B26" s="59">
        <f>折现数据源!B25</f>
        <v/>
      </c>
      <c r="C26" s="60">
        <f>折现数据源!C25</f>
        <v/>
      </c>
      <c r="D26" s="61">
        <f>折现数据源!D25</f>
        <v/>
      </c>
      <c r="E2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6" s="31">
        <f>IF(SUM($E$5:$E$68)=0,0,E26/SUM($E$5:$E$68))</f>
        <v/>
      </c>
      <c r="H26" s="31">
        <f>H25+G26</f>
        <v/>
      </c>
    </row>
    <row r="27">
      <c r="A27" s="26">
        <f>折现数据源!A26</f>
        <v/>
      </c>
      <c r="B27" s="59">
        <f>折现数据源!B26</f>
        <v/>
      </c>
      <c r="C27" s="60">
        <f>折现数据源!C26</f>
        <v/>
      </c>
      <c r="D27" s="61">
        <f>折现数据源!D26</f>
        <v/>
      </c>
      <c r="E2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7" s="31">
        <f>IF(SUM($E$5:$E$68)=0,0,E27/SUM($E$5:$E$68))</f>
        <v/>
      </c>
      <c r="H27" s="31">
        <f>H26+G27</f>
        <v/>
      </c>
    </row>
    <row r="28">
      <c r="A28" s="26">
        <f>折现数据源!A27</f>
        <v/>
      </c>
      <c r="B28" s="59">
        <f>折现数据源!B27</f>
        <v/>
      </c>
      <c r="C28" s="60">
        <f>折现数据源!C27</f>
        <v/>
      </c>
      <c r="D28" s="61">
        <f>折现数据源!D27</f>
        <v/>
      </c>
      <c r="E2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8" s="31">
        <f>IF(SUM($E$5:$E$68)=0,0,E28/SUM($E$5:$E$68))</f>
        <v/>
      </c>
      <c r="H28" s="31">
        <f>H27+G28</f>
        <v/>
      </c>
    </row>
    <row r="29">
      <c r="A29" s="26">
        <f>折现数据源!A28</f>
        <v/>
      </c>
      <c r="B29" s="59">
        <f>折现数据源!B28</f>
        <v/>
      </c>
      <c r="C29" s="60">
        <f>折现数据源!C28</f>
        <v/>
      </c>
      <c r="D29" s="61">
        <f>折现数据源!D28</f>
        <v/>
      </c>
      <c r="E2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2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29" s="31">
        <f>IF(SUM($E$5:$E$68)=0,0,E29/SUM($E$5:$E$68))</f>
        <v/>
      </c>
      <c r="H29" s="31">
        <f>H28+G29</f>
        <v/>
      </c>
    </row>
    <row r="30">
      <c r="A30" s="26">
        <f>折现数据源!A29</f>
        <v/>
      </c>
      <c r="B30" s="59">
        <f>折现数据源!B29</f>
        <v/>
      </c>
      <c r="C30" s="60">
        <f>折现数据源!C29</f>
        <v/>
      </c>
      <c r="D30" s="61">
        <f>折现数据源!D29</f>
        <v/>
      </c>
      <c r="E3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0" s="31">
        <f>IF(SUM($E$5:$E$68)=0,0,E30/SUM($E$5:$E$68))</f>
        <v/>
      </c>
      <c r="H30" s="31">
        <f>H29+G30</f>
        <v/>
      </c>
    </row>
    <row r="31">
      <c r="A31" s="26">
        <f>折现数据源!A30</f>
        <v/>
      </c>
      <c r="B31" s="59">
        <f>折现数据源!B30</f>
        <v/>
      </c>
      <c r="C31" s="60">
        <f>折现数据源!C30</f>
        <v/>
      </c>
      <c r="D31" s="61">
        <f>折现数据源!D30</f>
        <v/>
      </c>
      <c r="E3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1" s="31">
        <f>IF(SUM($E$5:$E$68)=0,0,E31/SUM($E$5:$E$68))</f>
        <v/>
      </c>
      <c r="H31" s="31">
        <f>H30+G31</f>
        <v/>
      </c>
    </row>
    <row r="32">
      <c r="A32" s="26">
        <f>折现数据源!A31</f>
        <v/>
      </c>
      <c r="B32" s="59">
        <f>折现数据源!B31</f>
        <v/>
      </c>
      <c r="C32" s="60">
        <f>折现数据源!C31</f>
        <v/>
      </c>
      <c r="D32" s="61">
        <f>折现数据源!D31</f>
        <v/>
      </c>
      <c r="E3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2" s="31">
        <f>IF(SUM($E$5:$E$68)=0,0,E32/SUM($E$5:$E$68))</f>
        <v/>
      </c>
      <c r="H32" s="31">
        <f>H31+G32</f>
        <v/>
      </c>
    </row>
    <row r="33">
      <c r="A33" s="26">
        <f>折现数据源!A32</f>
        <v/>
      </c>
      <c r="B33" s="59">
        <f>折现数据源!B32</f>
        <v/>
      </c>
      <c r="C33" s="60">
        <f>折现数据源!C32</f>
        <v/>
      </c>
      <c r="D33" s="61">
        <f>折现数据源!D32</f>
        <v/>
      </c>
      <c r="E3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3" s="31">
        <f>IF(SUM($E$5:$E$68)=0,0,E33/SUM($E$5:$E$68))</f>
        <v/>
      </c>
      <c r="H33" s="31">
        <f>H32+G33</f>
        <v/>
      </c>
    </row>
    <row r="34">
      <c r="A34" s="26">
        <f>折现数据源!A33</f>
        <v/>
      </c>
      <c r="B34" s="59">
        <f>折现数据源!B33</f>
        <v/>
      </c>
      <c r="C34" s="60">
        <f>折现数据源!C33</f>
        <v/>
      </c>
      <c r="D34" s="61">
        <f>折现数据源!D33</f>
        <v/>
      </c>
      <c r="E3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4" s="31">
        <f>IF(SUM($E$5:$E$68)=0,0,E34/SUM($E$5:$E$68))</f>
        <v/>
      </c>
      <c r="H34" s="31">
        <f>H33+G34</f>
        <v/>
      </c>
    </row>
    <row r="35">
      <c r="A35" s="26">
        <f>折现数据源!A34</f>
        <v/>
      </c>
      <c r="B35" s="59">
        <f>折现数据源!B34</f>
        <v/>
      </c>
      <c r="C35" s="60">
        <f>折现数据源!C34</f>
        <v/>
      </c>
      <c r="D35" s="61">
        <f>折现数据源!D34</f>
        <v/>
      </c>
      <c r="E3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5" s="31">
        <f>IF(SUM($E$5:$E$68)=0,0,E35/SUM($E$5:$E$68))</f>
        <v/>
      </c>
      <c r="H35" s="31">
        <f>H34+G35</f>
        <v/>
      </c>
    </row>
    <row r="36">
      <c r="A36" s="26">
        <f>折现数据源!A35</f>
        <v/>
      </c>
      <c r="B36" s="59">
        <f>折现数据源!B35</f>
        <v/>
      </c>
      <c r="C36" s="60">
        <f>折现数据源!C35</f>
        <v/>
      </c>
      <c r="D36" s="61">
        <f>折现数据源!D35</f>
        <v/>
      </c>
      <c r="E3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6" s="31">
        <f>IF(SUM($E$5:$E$68)=0,0,E36/SUM($E$5:$E$68))</f>
        <v/>
      </c>
      <c r="H36" s="31">
        <f>H35+G36</f>
        <v/>
      </c>
    </row>
    <row r="37">
      <c r="A37" s="26">
        <f>折现数据源!A36</f>
        <v/>
      </c>
      <c r="B37" s="59">
        <f>折现数据源!B36</f>
        <v/>
      </c>
      <c r="C37" s="60">
        <f>折现数据源!C36</f>
        <v/>
      </c>
      <c r="D37" s="61">
        <f>折现数据源!D36</f>
        <v/>
      </c>
      <c r="E3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7" s="31">
        <f>IF(SUM($E$5:$E$68)=0,0,E37/SUM($E$5:$E$68))</f>
        <v/>
      </c>
      <c r="H37" s="31">
        <f>H36+G37</f>
        <v/>
      </c>
    </row>
    <row r="38">
      <c r="A38" s="26">
        <f>折现数据源!A37</f>
        <v/>
      </c>
      <c r="B38" s="59">
        <f>折现数据源!B37</f>
        <v/>
      </c>
      <c r="C38" s="60">
        <f>折现数据源!C37</f>
        <v/>
      </c>
      <c r="D38" s="61">
        <f>折现数据源!D37</f>
        <v/>
      </c>
      <c r="E3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8" s="31">
        <f>IF(SUM($E$5:$E$68)=0,0,E38/SUM($E$5:$E$68))</f>
        <v/>
      </c>
      <c r="H38" s="31">
        <f>H37+G38</f>
        <v/>
      </c>
    </row>
    <row r="39">
      <c r="A39" s="26">
        <f>折现数据源!A38</f>
        <v/>
      </c>
      <c r="B39" s="59">
        <f>折现数据源!B38</f>
        <v/>
      </c>
      <c r="C39" s="60">
        <f>折现数据源!C38</f>
        <v/>
      </c>
      <c r="D39" s="61">
        <f>折现数据源!D38</f>
        <v/>
      </c>
      <c r="E3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3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39" s="31">
        <f>IF(SUM($E$5:$E$68)=0,0,E39/SUM($E$5:$E$68))</f>
        <v/>
      </c>
      <c r="H39" s="31">
        <f>H38+G39</f>
        <v/>
      </c>
    </row>
    <row r="40">
      <c r="A40" s="26">
        <f>折现数据源!A39</f>
        <v/>
      </c>
      <c r="B40" s="59">
        <f>折现数据源!B39</f>
        <v/>
      </c>
      <c r="C40" s="60">
        <f>折现数据源!C39</f>
        <v/>
      </c>
      <c r="D40" s="61">
        <f>折现数据源!D39</f>
        <v/>
      </c>
      <c r="E4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0" s="31">
        <f>IF(SUM($E$5:$E$68)=0,0,E40/SUM($E$5:$E$68))</f>
        <v/>
      </c>
      <c r="H40" s="31">
        <f>H39+G40</f>
        <v/>
      </c>
    </row>
    <row r="41">
      <c r="A41" s="26">
        <f>折现数据源!A40</f>
        <v/>
      </c>
      <c r="B41" s="59">
        <f>折现数据源!B40</f>
        <v/>
      </c>
      <c r="C41" s="60">
        <f>折现数据源!C40</f>
        <v/>
      </c>
      <c r="D41" s="61">
        <f>折现数据源!D40</f>
        <v/>
      </c>
      <c r="E4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1" s="31">
        <f>IF(SUM($E$5:$E$68)=0,0,E41/SUM($E$5:$E$68))</f>
        <v/>
      </c>
      <c r="H41" s="31">
        <f>H40+G41</f>
        <v/>
      </c>
    </row>
    <row r="42">
      <c r="A42" s="26">
        <f>折现数据源!A41</f>
        <v/>
      </c>
      <c r="B42" s="59">
        <f>折现数据源!B41</f>
        <v/>
      </c>
      <c r="C42" s="60">
        <f>折现数据源!C41</f>
        <v/>
      </c>
      <c r="D42" s="61">
        <f>折现数据源!D41</f>
        <v/>
      </c>
      <c r="E4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2" s="31">
        <f>IF(SUM($E$5:$E$68)=0,0,E42/SUM($E$5:$E$68))</f>
        <v/>
      </c>
      <c r="H42" s="31">
        <f>H41+G42</f>
        <v/>
      </c>
    </row>
    <row r="43">
      <c r="A43" s="26">
        <f>折现数据源!A42</f>
        <v/>
      </c>
      <c r="B43" s="59">
        <f>折现数据源!B42</f>
        <v/>
      </c>
      <c r="C43" s="60">
        <f>折现数据源!C42</f>
        <v/>
      </c>
      <c r="D43" s="61">
        <f>折现数据源!D42</f>
        <v/>
      </c>
      <c r="E4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3" s="31">
        <f>IF(SUM($E$5:$E$68)=0,0,E43/SUM($E$5:$E$68))</f>
        <v/>
      </c>
      <c r="H43" s="31">
        <f>H42+G43</f>
        <v/>
      </c>
    </row>
    <row r="44">
      <c r="A44" s="26">
        <f>折现数据源!A43</f>
        <v/>
      </c>
      <c r="B44" s="59">
        <f>折现数据源!B43</f>
        <v/>
      </c>
      <c r="C44" s="60">
        <f>折现数据源!C43</f>
        <v/>
      </c>
      <c r="D44" s="61">
        <f>折现数据源!D43</f>
        <v/>
      </c>
      <c r="E4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4" s="31">
        <f>IF(SUM($E$5:$E$68)=0,0,E44/SUM($E$5:$E$68))</f>
        <v/>
      </c>
      <c r="H44" s="31">
        <f>H43+G44</f>
        <v/>
      </c>
    </row>
    <row r="45">
      <c r="A45" s="26">
        <f>折现数据源!A44</f>
        <v/>
      </c>
      <c r="B45" s="59">
        <f>折现数据源!B44</f>
        <v/>
      </c>
      <c r="C45" s="60">
        <f>折现数据源!C44</f>
        <v/>
      </c>
      <c r="D45" s="61">
        <f>折现数据源!D44</f>
        <v/>
      </c>
      <c r="E4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5" s="31">
        <f>IF(SUM($E$5:$E$68)=0,0,E45/SUM($E$5:$E$68))</f>
        <v/>
      </c>
      <c r="H45" s="31">
        <f>H44+G45</f>
        <v/>
      </c>
    </row>
    <row r="46">
      <c r="A46" s="26">
        <f>折现数据源!A45</f>
        <v/>
      </c>
      <c r="B46" s="59">
        <f>折现数据源!B45</f>
        <v/>
      </c>
      <c r="C46" s="60">
        <f>折现数据源!C45</f>
        <v/>
      </c>
      <c r="D46" s="61">
        <f>折现数据源!D45</f>
        <v/>
      </c>
      <c r="E4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6" s="31">
        <f>IF(SUM($E$5:$E$68)=0,0,E46/SUM($E$5:$E$68))</f>
        <v/>
      </c>
      <c r="H46" s="31">
        <f>H45+G46</f>
        <v/>
      </c>
    </row>
    <row r="47">
      <c r="A47" s="26">
        <f>折现数据源!A46</f>
        <v/>
      </c>
      <c r="B47" s="59">
        <f>折现数据源!B46</f>
        <v/>
      </c>
      <c r="C47" s="60">
        <f>折现数据源!C46</f>
        <v/>
      </c>
      <c r="D47" s="61">
        <f>折现数据源!D46</f>
        <v/>
      </c>
      <c r="E4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7" s="31">
        <f>IF(SUM($E$5:$E$68)=0,0,E47/SUM($E$5:$E$68))</f>
        <v/>
      </c>
      <c r="H47" s="31">
        <f>H46+G47</f>
        <v/>
      </c>
    </row>
    <row r="48">
      <c r="A48" s="26">
        <f>折现数据源!A47</f>
        <v/>
      </c>
      <c r="B48" s="59">
        <f>折现数据源!B47</f>
        <v/>
      </c>
      <c r="C48" s="60">
        <f>折现数据源!C47</f>
        <v/>
      </c>
      <c r="D48" s="61">
        <f>折现数据源!D47</f>
        <v/>
      </c>
      <c r="E4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8" s="31">
        <f>IF(SUM($E$5:$E$68)=0,0,E48/SUM($E$5:$E$68))</f>
        <v/>
      </c>
      <c r="H48" s="31">
        <f>H47+G48</f>
        <v/>
      </c>
    </row>
    <row r="49">
      <c r="A49" s="26">
        <f>折现数据源!A48</f>
        <v/>
      </c>
      <c r="B49" s="59">
        <f>折现数据源!B48</f>
        <v/>
      </c>
      <c r="C49" s="60">
        <f>折现数据源!C48</f>
        <v/>
      </c>
      <c r="D49" s="61">
        <f>折现数据源!D48</f>
        <v/>
      </c>
      <c r="E4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4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49" s="31">
        <f>IF(SUM($E$5:$E$68)=0,0,E49/SUM($E$5:$E$68))</f>
        <v/>
      </c>
      <c r="H49" s="31">
        <f>H48+G49</f>
        <v/>
      </c>
    </row>
    <row r="50">
      <c r="A50" s="26">
        <f>折现数据源!A49</f>
        <v/>
      </c>
      <c r="B50" s="59">
        <f>折现数据源!B49</f>
        <v/>
      </c>
      <c r="C50" s="60">
        <f>折现数据源!C49</f>
        <v/>
      </c>
      <c r="D50" s="61">
        <f>折现数据源!D49</f>
        <v/>
      </c>
      <c r="E5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0" s="31">
        <f>IF(SUM($E$5:$E$68)=0,0,E50/SUM($E$5:$E$68))</f>
        <v/>
      </c>
      <c r="H50" s="31">
        <f>H49+G50</f>
        <v/>
      </c>
    </row>
    <row r="51">
      <c r="A51" s="26">
        <f>折现数据源!A50</f>
        <v/>
      </c>
      <c r="B51" s="59">
        <f>折现数据源!B50</f>
        <v/>
      </c>
      <c r="C51" s="60">
        <f>折现数据源!C50</f>
        <v/>
      </c>
      <c r="D51" s="61">
        <f>折现数据源!D50</f>
        <v/>
      </c>
      <c r="E5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1" s="31">
        <f>IF(SUM($E$5:$E$68)=0,0,E51/SUM($E$5:$E$68))</f>
        <v/>
      </c>
      <c r="H51" s="31">
        <f>H50+G51</f>
        <v/>
      </c>
    </row>
    <row r="52">
      <c r="A52" s="26">
        <f>折现数据源!A51</f>
        <v/>
      </c>
      <c r="B52" s="59">
        <f>折现数据源!B51</f>
        <v/>
      </c>
      <c r="C52" s="60">
        <f>折现数据源!C51</f>
        <v/>
      </c>
      <c r="D52" s="61">
        <f>折现数据源!D51</f>
        <v/>
      </c>
      <c r="E5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2" s="31">
        <f>IF(SUM($E$5:$E$68)=0,0,E52/SUM($E$5:$E$68))</f>
        <v/>
      </c>
      <c r="H52" s="31">
        <f>H51+G52</f>
        <v/>
      </c>
    </row>
    <row r="53">
      <c r="A53" s="26">
        <f>折现数据源!A52</f>
        <v/>
      </c>
      <c r="B53" s="59">
        <f>折现数据源!B52</f>
        <v/>
      </c>
      <c r="C53" s="60">
        <f>折现数据源!C52</f>
        <v/>
      </c>
      <c r="D53" s="61">
        <f>折现数据源!D52</f>
        <v/>
      </c>
      <c r="E5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3" s="31">
        <f>IF(SUM($E$5:$E$68)=0,0,E53/SUM($E$5:$E$68))</f>
        <v/>
      </c>
      <c r="H53" s="31">
        <f>H52+G53</f>
        <v/>
      </c>
    </row>
    <row r="54">
      <c r="A54" s="26">
        <f>折现数据源!A53</f>
        <v/>
      </c>
      <c r="B54" s="59">
        <f>折现数据源!B53</f>
        <v/>
      </c>
      <c r="C54" s="60">
        <f>折现数据源!C53</f>
        <v/>
      </c>
      <c r="D54" s="61">
        <f>折现数据源!D53</f>
        <v/>
      </c>
      <c r="E5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4" s="31">
        <f>IF(SUM($E$5:$E$68)=0,0,E54/SUM($E$5:$E$68))</f>
        <v/>
      </c>
      <c r="H54" s="31">
        <f>H53+G54</f>
        <v/>
      </c>
    </row>
    <row r="55">
      <c r="A55" s="26">
        <f>折现数据源!A54</f>
        <v/>
      </c>
      <c r="B55" s="59">
        <f>折现数据源!B54</f>
        <v/>
      </c>
      <c r="C55" s="60">
        <f>折现数据源!C54</f>
        <v/>
      </c>
      <c r="D55" s="61">
        <f>折现数据源!D54</f>
        <v/>
      </c>
      <c r="E5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5" s="31">
        <f>IF(SUM($E$5:$E$68)=0,0,E55/SUM($E$5:$E$68))</f>
        <v/>
      </c>
      <c r="H55" s="31">
        <f>H54+G55</f>
        <v/>
      </c>
    </row>
    <row r="56">
      <c r="A56" s="26">
        <f>折现数据源!A55</f>
        <v/>
      </c>
      <c r="B56" s="59">
        <f>折现数据源!B55</f>
        <v/>
      </c>
      <c r="C56" s="60">
        <f>折现数据源!C55</f>
        <v/>
      </c>
      <c r="D56" s="61">
        <f>折现数据源!D55</f>
        <v/>
      </c>
      <c r="E5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6" s="31">
        <f>IF(SUM($E$5:$E$68)=0,0,E56/SUM($E$5:$E$68))</f>
        <v/>
      </c>
      <c r="H56" s="31">
        <f>H55+G56</f>
        <v/>
      </c>
    </row>
    <row r="57">
      <c r="A57" s="26">
        <f>折现数据源!A56</f>
        <v/>
      </c>
      <c r="B57" s="59">
        <f>折现数据源!B56</f>
        <v/>
      </c>
      <c r="C57" s="60">
        <f>折现数据源!C56</f>
        <v/>
      </c>
      <c r="D57" s="61">
        <f>折现数据源!D56</f>
        <v/>
      </c>
      <c r="E5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7" s="31">
        <f>IF(SUM($E$5:$E$68)=0,0,E57/SUM($E$5:$E$68))</f>
        <v/>
      </c>
      <c r="H57" s="31">
        <f>H56+G57</f>
        <v/>
      </c>
    </row>
    <row r="58">
      <c r="A58" s="26">
        <f>折现数据源!A57</f>
        <v/>
      </c>
      <c r="B58" s="59">
        <f>折现数据源!B57</f>
        <v/>
      </c>
      <c r="C58" s="60">
        <f>折现数据源!C57</f>
        <v/>
      </c>
      <c r="D58" s="61">
        <f>折现数据源!D57</f>
        <v/>
      </c>
      <c r="E5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8" s="31">
        <f>IF(SUM($E$5:$E$68)=0,0,E58/SUM($E$5:$E$68))</f>
        <v/>
      </c>
      <c r="H58" s="31">
        <f>H57+G58</f>
        <v/>
      </c>
    </row>
    <row r="59">
      <c r="A59" s="26">
        <f>折现数据源!A58</f>
        <v/>
      </c>
      <c r="B59" s="59">
        <f>折现数据源!B58</f>
        <v/>
      </c>
      <c r="C59" s="60">
        <f>折现数据源!C58</f>
        <v/>
      </c>
      <c r="D59" s="61">
        <f>折现数据源!D58</f>
        <v/>
      </c>
      <c r="E59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59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59" s="31">
        <f>IF(SUM($E$5:$E$68)=0,0,E59/SUM($E$5:$E$68))</f>
        <v/>
      </c>
      <c r="H59" s="31">
        <f>H58+G59</f>
        <v/>
      </c>
    </row>
    <row r="60">
      <c r="A60" s="26">
        <f>折现数据源!A59</f>
        <v/>
      </c>
      <c r="B60" s="59">
        <f>折现数据源!B59</f>
        <v/>
      </c>
      <c r="C60" s="60">
        <f>折现数据源!C59</f>
        <v/>
      </c>
      <c r="D60" s="61">
        <f>折现数据源!D59</f>
        <v/>
      </c>
      <c r="E60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0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0" s="31">
        <f>IF(SUM($E$5:$E$68)=0,0,E60/SUM($E$5:$E$68))</f>
        <v/>
      </c>
      <c r="H60" s="31">
        <f>H59+G60</f>
        <v/>
      </c>
    </row>
    <row r="61">
      <c r="A61" s="26">
        <f>折现数据源!A60</f>
        <v/>
      </c>
      <c r="B61" s="59">
        <f>折现数据源!B60</f>
        <v/>
      </c>
      <c r="C61" s="60">
        <f>折现数据源!C60</f>
        <v/>
      </c>
      <c r="D61" s="61">
        <f>折现数据源!D60</f>
        <v/>
      </c>
      <c r="E61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1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1" s="31">
        <f>IF(SUM($E$5:$E$68)=0,0,E61/SUM($E$5:$E$68))</f>
        <v/>
      </c>
      <c r="H61" s="31">
        <f>H60+G61</f>
        <v/>
      </c>
    </row>
    <row r="62">
      <c r="A62" s="26">
        <f>折现数据源!A61</f>
        <v/>
      </c>
      <c r="B62" s="59">
        <f>折现数据源!B61</f>
        <v/>
      </c>
      <c r="C62" s="60">
        <f>折现数据源!C61</f>
        <v/>
      </c>
      <c r="D62" s="61">
        <f>折现数据源!D61</f>
        <v/>
      </c>
      <c r="E62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2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2" s="31">
        <f>IF(SUM($E$5:$E$68)=0,0,E62/SUM($E$5:$E$68))</f>
        <v/>
      </c>
      <c r="H62" s="31">
        <f>H61+G62</f>
        <v/>
      </c>
    </row>
    <row r="63">
      <c r="A63" s="26">
        <f>折现数据源!A62</f>
        <v/>
      </c>
      <c r="B63" s="59">
        <f>折现数据源!B62</f>
        <v/>
      </c>
      <c r="C63" s="60">
        <f>折现数据源!C62</f>
        <v/>
      </c>
      <c r="D63" s="61">
        <f>折现数据源!D62</f>
        <v/>
      </c>
      <c r="E63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3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3" s="31">
        <f>IF(SUM($E$5:$E$68)=0,0,E63/SUM($E$5:$E$68))</f>
        <v/>
      </c>
      <c r="H63" s="31">
        <f>H62+G63</f>
        <v/>
      </c>
    </row>
    <row r="64">
      <c r="A64" s="26">
        <f>折现数据源!A63</f>
        <v/>
      </c>
      <c r="B64" s="59">
        <f>折现数据源!B63</f>
        <v/>
      </c>
      <c r="C64" s="60">
        <f>折现数据源!C63</f>
        <v/>
      </c>
      <c r="D64" s="61">
        <f>折现数据源!D63</f>
        <v/>
      </c>
      <c r="E64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4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4" s="31">
        <f>IF(SUM($E$5:$E$68)=0,0,E64/SUM($E$5:$E$68))</f>
        <v/>
      </c>
      <c r="H64" s="31">
        <f>H63+G64</f>
        <v/>
      </c>
    </row>
    <row r="65">
      <c r="A65" s="26">
        <f>折现数据源!A64</f>
        <v/>
      </c>
      <c r="B65" s="59">
        <f>折现数据源!B64</f>
        <v/>
      </c>
      <c r="C65" s="60">
        <f>折现数据源!C64</f>
        <v/>
      </c>
      <c r="D65" s="61">
        <f>折现数据源!D64</f>
        <v/>
      </c>
      <c r="E65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5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5" s="31">
        <f>IF(SUM($E$5:$E$68)=0,0,E65/SUM($E$5:$E$68))</f>
        <v/>
      </c>
      <c r="H65" s="31">
        <f>H64+G65</f>
        <v/>
      </c>
    </row>
    <row r="66">
      <c r="A66" s="26">
        <f>折现数据源!A65</f>
        <v/>
      </c>
      <c r="B66" s="59">
        <f>折现数据源!B65</f>
        <v/>
      </c>
      <c r="C66" s="60">
        <f>折现数据源!C65</f>
        <v/>
      </c>
      <c r="D66" s="61">
        <f>折现数据源!D65</f>
        <v/>
      </c>
      <c r="E66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6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6" s="31">
        <f>IF(SUM($E$5:$E$68)=0,0,E66/SUM($E$5:$E$68))</f>
        <v/>
      </c>
      <c r="H66" s="31">
        <f>H65+G66</f>
        <v/>
      </c>
    </row>
    <row r="67">
      <c r="A67" s="26">
        <f>折现数据源!A66</f>
        <v/>
      </c>
      <c r="B67" s="59">
        <f>折现数据源!B66</f>
        <v/>
      </c>
      <c r="C67" s="60">
        <f>折现数据源!C66</f>
        <v/>
      </c>
      <c r="D67" s="61">
        <f>折现数据源!D66</f>
        <v/>
      </c>
      <c r="E67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7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7" s="31">
        <f>IF(SUM($E$5:$E$68)=0,0,E67/SUM($E$5:$E$68))</f>
        <v/>
      </c>
      <c r="H67" s="31">
        <f>H66+G67</f>
        <v/>
      </c>
    </row>
    <row r="68">
      <c r="A68" s="26">
        <f>折现数据源!A67</f>
        <v/>
      </c>
      <c r="B68" s="59">
        <f>折现数据源!B67</f>
        <v/>
      </c>
      <c r="C68" s="60">
        <f>折现数据源!C67</f>
        <v/>
      </c>
      <c r="D68" s="61">
        <f>折现数据源!D67</f>
        <v/>
      </c>
      <c r="E68" s="29">
        <f>SUMPRODUCT(折现数据源!E$4:E$67,折现数据源!$D$4:$D$67)+SUMPRODUCT(折现数据源!F$4:F$67,折现数据源!$D$4:$D$67)+SUMPRODUCT(折现数据源!G$4:G$67,折现数据源!$D$4:$D$67)+SUMPRODUCT(折现数据源!H$4:H$67,折现数据源!$D$4:$D$67)+SUMPRODUCT(折现数据源!I$4:I$67,折现数据源!$D$4:$D$67)+SUMPRODUCT(折现数据源!J$4:J$67,折现数据源!$D$4:$D$67)+SUMPRODUCT(折现数据源!K$4:K$67,折现数据源!$D$4:$D$67)+SUMPRODUCT(折现数据源!L$4:L$67,折现数据源!$D$4:$D$67)+SUMPRODUCT(折现数据源!M$4:M$67,折现数据源!$D$4:$D$67)+SUMPRODUCT(折现数据源!N$4:N$67,折现数据源!$D$4:$D$67)+SUMPRODUCT(折现数据源!O$4:O$67,折现数据源!$D$4:$D$67)+SUMPRODUCT(折现数据源!P$4:P$67,折现数据源!$D$4:$D$67)+SUMPRODUCT(折现数据源!Q$4:Q$67,折现数据源!$D$4:$D$67)+SUMPRODUCT(折现数据源!R$4:R$67,折现数据源!$D$4:$D$67)+SUMPRODUCT(折现数据源!S$4:S$67,折现数据源!$D$4:$D$67)+SUMPRODUCT(折现数据源!T$4:T$67,折现数据源!$D$4:$D$67)</f>
        <v/>
      </c>
      <c r="F68" s="29">
        <f>SUMPRODUCT(折现数据源!U$4:U$67,折现数据源!$D$4:$D$67)+SUMPRODUCT(折现数据源!V$4:V$67,折现数据源!$D$4:$D$67)+SUMPRODUCT(折现数据源!W$4:W$67,折现数据源!$D$4:$D$67)+SUMPRODUCT(折现数据源!X$4:X$67,折现数据源!$D$4:$D$67)+SUMPRODUCT(折现数据源!Y$4:Y$67,折现数据源!$D$4:$D$67)+SUMPRODUCT(折现数据源!Z$4:Z$67,折现数据源!$D$4:$D$67)+SUMPRODUCT(折现数据源!AA$4:AA$67,折现数据源!$D$4:$D$67)</f>
        <v/>
      </c>
      <c r="G68" s="31">
        <f>IF(SUM($E$5:$E$68)=0,0,E68/SUM($E$5:$E$68))</f>
        <v/>
      </c>
      <c r="H68" s="31">
        <f>H67+G68</f>
        <v/>
      </c>
    </row>
    <row r="69">
      <c r="A69" s="62" t="inlineStr">
        <is>
          <t>合计</t>
        </is>
      </c>
      <c r="B69" s="62" t="n"/>
      <c r="C69" s="62" t="n"/>
      <c r="D69" s="62" t="n"/>
      <c r="E69" s="63">
        <f>SUM(E5:E68)</f>
        <v/>
      </c>
      <c r="F69" s="63">
        <f>SUM(F5:F68)</f>
        <v/>
      </c>
      <c r="G69" s="64">
        <f>SUM(G5:G68)</f>
        <v/>
      </c>
      <c r="H69" s="64" t="n"/>
    </row>
    <row r="71">
      <c r="A71" s="65" t="inlineStr">
        <is>
          <t>久期贡献拆解 (Σ t×PV / Σ PV)</t>
        </is>
      </c>
    </row>
    <row r="72">
      <c r="A72" s="56" t="inlineStr">
        <is>
          <t>资产加权平均年数 Σ(t×PV)/Σ(PV)</t>
        </is>
      </c>
      <c r="B72" s="58" t="n"/>
      <c r="C72" s="58" t="n"/>
      <c r="D72" s="58" t="n"/>
      <c r="E72" s="50">
        <f>SUMPRODUCT(B5:B68,E5:E68)/SUM(E5:E68)</f>
        <v/>
      </c>
    </row>
    <row r="73">
      <c r="A73" s="56" t="inlineStr">
        <is>
          <t>负债加权平均年数 Σ(t×PV)/Σ(PV)</t>
        </is>
      </c>
      <c r="B73" s="58" t="n"/>
      <c r="C73" s="58" t="n"/>
      <c r="D73" s="58" t="n"/>
      <c r="E73" s="50">
        <f>SUMPRODUCT(B5:B68,F5:F68)/SUM(F5:F68)</f>
        <v/>
      </c>
    </row>
    <row r="74">
      <c r="A74" s="56" t="inlineStr">
        <is>
          <t>久期缺口 (资产 - 负债)</t>
        </is>
      </c>
      <c r="B74" s="58" t="n"/>
      <c r="C74" s="58" t="n"/>
      <c r="D74" s="58" t="n"/>
      <c r="E74" s="50">
        <f>SUMPRODUCT(B5:B68,E5:E68)/SUM(E5:E68)-SUMPRODUCT(B5:B68,F5:F68)/SUM(F5:F68)</f>
        <v/>
      </c>
    </row>
  </sheetData>
  <mergeCells count="7">
    <mergeCell ref="A74:D74"/>
    <mergeCell ref="A69:D69"/>
    <mergeCell ref="A2:H2"/>
    <mergeCell ref="A72:D72"/>
    <mergeCell ref="A73:D73"/>
    <mergeCell ref="A71:D7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6" customWidth="1" min="3" max="3"/>
  </cols>
  <sheetData>
    <row r="1" ht="30" customHeight="1">
      <c r="A1" s="1" t="inlineStr">
        <is>
          <t>麦考林久期计算逻辑说明</t>
        </is>
      </c>
    </row>
    <row r="3" ht="24" customHeight="1">
      <c r="A3" s="65" t="inlineStr">
        <is>
          <t>【一】基础概念</t>
        </is>
      </c>
    </row>
    <row r="4" ht="18" customHeight="1">
      <c r="A4" s="66" t="inlineStr">
        <is>
          <t>麦考林久期</t>
        </is>
      </c>
      <c r="B4" s="67" t="inlineStr">
        <is>
          <t>衡量现金流回到面值的时间 = Σ(t × PV_t) / Σ(PV_t), 单位: 年</t>
        </is>
      </c>
      <c r="C4" s="58" t="n"/>
    </row>
    <row r="5" ht="18" customHeight="1">
      <c r="A5" s="66" t="inlineStr">
        <is>
          <t>修正久期</t>
        </is>
      </c>
      <c r="B5" s="67" t="inlineStr">
        <is>
          <t>D_mod = D_mac / (1 + y_avg), 利率变动 1% 时价格变动的百分比</t>
        </is>
      </c>
      <c r="C5" s="58" t="n"/>
    </row>
    <row r="6" ht="18" customHeight="1">
      <c r="A6" s="66" t="inlineStr">
        <is>
          <t>久期缺口 GAP</t>
        </is>
      </c>
      <c r="B6" s="67" t="inlineStr">
        <is>
          <t>GAP = 资产久期 DA - 负债久期 DL, 衡量资产负债期限错配</t>
        </is>
      </c>
      <c r="C6" s="58" t="n"/>
    </row>
    <row r="7" ht="18" customHeight="1">
      <c r="A7" s="66" t="inlineStr">
        <is>
          <t>加权平均收益率</t>
        </is>
      </c>
      <c r="B7" s="67" t="inlineStr">
        <is>
          <t>y_avg = Σ(r_t × PV_t) / Σ(PV_t), PV 加权</t>
        </is>
      </c>
      <c r="C7" s="58" t="n"/>
    </row>
    <row r="8">
      <c r="A8" t="inlineStr"/>
    </row>
    <row r="9" ht="24" customHeight="1">
      <c r="A9" s="65" t="inlineStr">
        <is>
          <t>【二】核心公式</t>
        </is>
      </c>
    </row>
    <row r="10" ht="32" customHeight="1">
      <c r="A10" s="66" t="inlineStr">
        <is>
          <t>折现因子</t>
        </is>
      </c>
      <c r="B10" s="67" t="inlineStr">
        <is>
          <t>DF_t = 1 / (1 + r_t/100)^t
  r_t = 对应期限国债收益率 (%), t = 期限 (年)</t>
        </is>
      </c>
      <c r="C10" s="58" t="n"/>
    </row>
    <row r="11" ht="32" customHeight="1">
      <c r="A11" s="66" t="inlineStr">
        <is>
          <t>单账户久期</t>
        </is>
      </c>
      <c r="B11" s="67" t="inlineStr">
        <is>
          <t>D_i = Σ(t × PV_t) / Σ(PV_t)
  其中 PV_t = CF_t × DF_t</t>
        </is>
      </c>
      <c r="C11" s="58" t="n"/>
    </row>
    <row r="12" ht="32" customHeight="1">
      <c r="A12" s="66" t="inlineStr">
        <is>
          <t>组合久期 (PV 加权)</t>
        </is>
      </c>
      <c r="B12" s="67" t="inlineStr">
        <is>
          <t>DA = Σ(D_i × PV_i) / Σ(PV_i)   (i ∈ 资产)
DL = Σ(D_i × PV_i) / Σ(PV_i)   (i ∈ 负债)</t>
        </is>
      </c>
      <c r="C12" s="58" t="n"/>
    </row>
    <row r="13" ht="18" customHeight="1">
      <c r="A13" s="66" t="inlineStr">
        <is>
          <t>久期缺口</t>
        </is>
      </c>
      <c r="B13" s="67" t="inlineStr">
        <is>
          <t>GAP = DA - DL</t>
        </is>
      </c>
      <c r="C13" s="58" t="n"/>
    </row>
    <row r="14" ht="18" customHeight="1">
      <c r="A14" s="66" t="inlineStr">
        <is>
          <t>修正久期</t>
        </is>
      </c>
      <c r="B14" s="67" t="inlineStr">
        <is>
          <t>D_mod = D_mac / (1 + y_avg)</t>
        </is>
      </c>
      <c r="C14" s="58" t="n"/>
    </row>
    <row r="15" ht="32" customHeight="1">
      <c r="A15" s="66" t="inlineStr">
        <is>
          <t>NII 敏感度</t>
        </is>
      </c>
      <c r="B15" s="67" t="inlineStr">
        <is>
          <t>ΔNII/NII ≈ -GAP × Δr
  GAP &gt; 0 (正缺口): 利率上行 → NII 受损</t>
        </is>
      </c>
      <c r="C15" s="58" t="n"/>
    </row>
    <row r="16">
      <c r="A16" t="inlineStr"/>
    </row>
    <row r="17" ht="24" customHeight="1">
      <c r="A17" s="65" t="inlineStr">
        <is>
          <t>【三】Sheet 结构与公式联动</t>
        </is>
      </c>
    </row>
    <row r="18" ht="48" customHeight="1">
      <c r="A18" s="66" t="inlineStr">
        <is>
          <t>折现数据源</t>
        </is>
      </c>
      <c r="B18" s="67" t="inlineStr">
        <is>
          <t>🟢 C 列 (收益率) + E 列起 (现金流) = 可编辑输入区
🟣 D 列 (折现因子) = 公式 = 1/(1+C/100)^B
  → 修改输入, D 列自动重算</t>
        </is>
      </c>
      <c r="C18" s="58" t="n"/>
    </row>
    <row r="19" ht="80" customHeight="1">
      <c r="A19" s="66" t="inlineStr">
        <is>
          <t>麦考林久期计算表</t>
        </is>
      </c>
      <c r="B19" s="67" t="inlineStr">
        <is>
          <t>E 列 PV = SUMPRODUCT(现金流列, 折现因子列)
F 列 Σt×PV = SUMPRODUCT(现金流列, 折现因子列, 年数列)
G 列 D_mac = F/E
H 列 D_mod = G/(1+I)
汇总用 SUMIF 按大类加权聚合</t>
        </is>
      </c>
      <c r="C19" s="58" t="n"/>
    </row>
    <row r="20" ht="32" customHeight="1">
      <c r="A20" s="66" t="inlineStr">
        <is>
          <t>久期缺口与敏感性</t>
        </is>
      </c>
      <c r="B20" s="67" t="inlineStr">
        <is>
          <t>C/D 列引用「麦考林久期计算表」汇总行
解读区用 IF/TEXT 函数自动生成文字结论</t>
        </is>
      </c>
      <c r="C20" s="58" t="n"/>
    </row>
    <row r="21" ht="32" customHeight="1">
      <c r="A21" s="66" t="inlineStr">
        <is>
          <t>期限分布分析</t>
        </is>
      </c>
      <c r="B21" s="67" t="inlineStr">
        <is>
          <t>按期限汇总 Σ 各账户 CF × DF
底部用 SUMPRODUCT(B,E)/SUM(E) 独立复核久期 (交叉校验)</t>
        </is>
      </c>
      <c r="C21" s="58" t="n"/>
    </row>
    <row r="22">
      <c r="A22" t="inlineStr"/>
    </row>
    <row r="23" ht="24" customHeight="1">
      <c r="A23" s="65" t="inlineStr">
        <is>
          <t>【四】数据基础</t>
        </is>
      </c>
    </row>
    <row r="24" ht="18" customHeight="1">
      <c r="A24" s="66" t="inlineStr">
        <is>
          <t>来源文件</t>
        </is>
      </c>
      <c r="B24" s="67" t="inlineStr">
        <is>
          <t>prcp_basic_20251231_v5.xlsx → 基础数据 sheet</t>
        </is>
      </c>
      <c r="C24" s="58" t="n"/>
    </row>
    <row r="25" ht="18" customHeight="1">
      <c r="A25" s="66" t="inlineStr">
        <is>
          <t>账户范围</t>
        </is>
      </c>
      <c r="B25" s="67" t="inlineStr">
        <is>
          <t>24 个末级账户 (is_leaf=1), 剔除汇总行避免重复计算</t>
        </is>
      </c>
      <c r="C25" s="58" t="n"/>
    </row>
    <row r="26" ht="18" customHeight="1">
      <c r="A26" s="66" t="inlineStr">
        <is>
          <t>现金流列</t>
        </is>
      </c>
      <c r="B26" s="67" t="inlineStr">
        <is>
          <t>C76-C139 = 剩余·1M-60M (60 段) + 剩余·10Y/15Y/20Y/30Y (4 段)</t>
        </is>
      </c>
      <c r="C26" s="58" t="n"/>
    </row>
    <row r="27" ht="18" customHeight="1">
      <c r="A27" s="66" t="inlineStr">
        <is>
          <t>收益率曲线</t>
        </is>
      </c>
      <c r="B27" s="67" t="inlineStr">
        <is>
          <t>B48-B111 = 64 段国债收益率 (中债登 2025-12-31 + 线性插值)</t>
        </is>
      </c>
      <c r="C27" s="58" t="n"/>
    </row>
    <row r="28" ht="18" customHeight="1">
      <c r="A28" s="66" t="inlineStr">
        <is>
          <t>单位</t>
        </is>
      </c>
      <c r="B28" s="67" t="inlineStr">
        <is>
          <t>利率 = %, 现金流 = 亿元, 久期 = 年</t>
        </is>
      </c>
      <c r="C28" s="58" t="n"/>
    </row>
    <row r="29">
      <c r="A29" t="inlineStr"/>
    </row>
    <row r="30" ht="24" customHeight="1">
      <c r="A30" s="65" t="inlineStr">
        <is>
          <t>【五】注意事项</t>
        </is>
      </c>
    </row>
    <row r="31" ht="32" customHeight="1">
      <c r="A31" s="66" t="inlineStr">
        <is>
          <t>适用性</t>
        </is>
      </c>
      <c r="B31" s="67" t="inlineStr">
        <is>
          <t>麦考林久期假设现金流一次性到期, 对分期偿还的贷款/存款存在偏差
生产环境建议用修正久期或利率敏感性 GAP (按重定价期限) 而非到期期限</t>
        </is>
      </c>
      <c r="C31" s="58" t="n"/>
    </row>
    <row r="32" ht="32" customHeight="1">
      <c r="A32" s="66" t="inlineStr">
        <is>
          <t>行为假设</t>
        </is>
      </c>
      <c r="B32" s="67" t="inlineStr">
        <is>
          <t>活期存款未做「内核假设」处理, 若按 5 年最长期限重定价, 负债久期会显著上升
这是当前负债久期仅 0.32 年的主要原因</t>
        </is>
      </c>
      <c r="C32" s="58" t="n"/>
    </row>
    <row r="33" ht="32" customHeight="1">
      <c r="A33" s="66" t="inlineStr">
        <is>
          <t>监管口径</t>
        </is>
      </c>
      <c r="B33" s="67" t="inlineStr">
        <is>
          <t>银保监《商业银行银行账户利率风险计量》要求以重定价期限 (repricing) 为核心,
麦考林久期可作为 EVE 分析的补充视角</t>
        </is>
      </c>
      <c r="C33" s="58" t="n"/>
    </row>
    <row r="34" ht="18" customHeight="1">
      <c r="A34" s="66" t="inlineStr">
        <is>
          <t>重算提示</t>
        </is>
      </c>
      <c r="B34" s="67" t="inlineStr">
        <is>
          <t>WPS/Excel 打开后如数值未更新, 按 Ctrl+Alt+F9 强制全表重算</t>
        </is>
      </c>
      <c r="C34" s="58" t="n"/>
    </row>
  </sheetData>
  <mergeCells count="29">
    <mergeCell ref="B7:C7"/>
    <mergeCell ref="B25:C25"/>
    <mergeCell ref="A3:C3"/>
    <mergeCell ref="B31:C31"/>
    <mergeCell ref="B18:C18"/>
    <mergeCell ref="B27:C27"/>
    <mergeCell ref="B12:C12"/>
    <mergeCell ref="B21:C21"/>
    <mergeCell ref="B11:C11"/>
    <mergeCell ref="A23:C23"/>
    <mergeCell ref="A17:C17"/>
    <mergeCell ref="B14:C14"/>
    <mergeCell ref="B13:C13"/>
    <mergeCell ref="B19:C19"/>
    <mergeCell ref="B34:C34"/>
    <mergeCell ref="B10:C10"/>
    <mergeCell ref="B28:C28"/>
    <mergeCell ref="A9:C9"/>
    <mergeCell ref="A30:C30"/>
    <mergeCell ref="B6:C6"/>
    <mergeCell ref="B24:C24"/>
    <mergeCell ref="B15:C15"/>
    <mergeCell ref="B33:C33"/>
    <mergeCell ref="A1:C1"/>
    <mergeCell ref="B5:C5"/>
    <mergeCell ref="B20:C20"/>
    <mergeCell ref="B32:C32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2026-10-23T01:43:11Z</dcterms:created>
  <dcterms:modified xsi:type="dcterms:W3CDTF">2026-10-23T01:43:12Z</dcterms:modified>
</cp:coreProperties>
</file>