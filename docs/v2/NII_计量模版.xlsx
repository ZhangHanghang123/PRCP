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I数据源" sheetId="1" state="visible" r:id="rId1"/>
    <sheet name="利息收入明细" sheetId="2" state="visible" r:id="rId2"/>
    <sheet name="利息支出明细" sheetId="3" state="visible" r:id="rId3"/>
    <sheet name="NII计量表" sheetId="4" state="visible" r:id="rId4"/>
    <sheet name="NII结构拆解" sheetId="5" state="visible" r:id="rId5"/>
    <sheet name="NII情景敏感性" sheetId="6" state="visible" r:id="rId6"/>
    <sheet name="计算逻辑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0.0000%"/>
    <numFmt numFmtId="166" formatCode="#,##0;[Red]-#,##0"/>
  </numFmts>
  <fonts count="12">
    <font>
      <name val="Calibri"/>
      <family val="2"/>
      <color theme="1"/>
      <sz val="11"/>
      <scheme val="minor"/>
    </font>
    <font>
      <name val="Microsoft YaHei"/>
      <b val="1"/>
      <color rgb="001F4E78"/>
      <sz val="14"/>
    </font>
    <font>
      <name val="Microsoft YaHei"/>
      <i val="1"/>
      <color rgb="00595959"/>
      <sz val="9"/>
    </font>
    <font>
      <name val="Microsoft YaHei"/>
      <b val="1"/>
      <color rgb="00FFFFFF"/>
      <sz val="10"/>
    </font>
    <font>
      <name val="Microsoft YaHei"/>
      <sz val="10"/>
    </font>
    <font>
      <name val="Microsoft YaHei"/>
      <color rgb="000070C0"/>
      <sz val="10"/>
    </font>
    <font>
      <name val="Microsoft YaHei"/>
      <color rgb="007030A0"/>
      <sz val="10"/>
    </font>
    <font>
      <name val="Microsoft YaHei"/>
      <b val="1"/>
      <color rgb="00C00000"/>
      <sz val="11"/>
    </font>
    <font>
      <name val="Microsoft YaHei"/>
      <b val="1"/>
      <sz val="10"/>
    </font>
    <font>
      <name val="Microsoft YaHei"/>
      <b val="1"/>
      <color rgb="001F4E78"/>
      <sz val="10"/>
    </font>
    <font>
      <name val="Microsoft YaHei"/>
      <color rgb="00C55A11"/>
      <sz val="10"/>
    </font>
    <font>
      <name val="Microsoft YaHei"/>
      <b val="1"/>
      <color rgb="00C00000"/>
      <sz val="12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164" fontId="5" fillId="3" borderId="1" pivotButton="0" quotePrefix="0" xfId="0"/>
    <xf numFmtId="164" fontId="6" fillId="4" borderId="1" pivotButton="0" quotePrefix="0" xfId="0"/>
    <xf numFmtId="10" fontId="5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4" fillId="5" borderId="1" pivotButton="0" quotePrefix="0" xfId="0"/>
    <xf numFmtId="164" fontId="6" fillId="5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7" fillId="6" borderId="1" pivotButton="0" quotePrefix="0" xfId="0"/>
    <xf numFmtId="164" fontId="7" fillId="6" borderId="1" pivotButton="0" quotePrefix="0" xfId="0"/>
    <xf numFmtId="165" fontId="7" fillId="6" borderId="1" pivotButton="0" quotePrefix="0" xfId="0"/>
    <xf numFmtId="0" fontId="8" fillId="6" borderId="1" pivotButton="0" quotePrefix="0" xfId="0"/>
    <xf numFmtId="10" fontId="6" fillId="4" borderId="1" pivotButton="0" quotePrefix="0" xfId="0"/>
    <xf numFmtId="0" fontId="9" fillId="7" borderId="1" applyAlignment="1" pivotButton="0" quotePrefix="0" xfId="0">
      <alignment horizontal="left" vertical="center" wrapText="1"/>
    </xf>
    <xf numFmtId="0" fontId="7" fillId="7" borderId="1" pivotButton="0" quotePrefix="0" xfId="0"/>
    <xf numFmtId="0" fontId="0" fillId="7" borderId="1" pivotButton="0" quotePrefix="0" xfId="0"/>
    <xf numFmtId="164" fontId="7" fillId="7" borderId="1" pivotButton="0" quotePrefix="0" xfId="0"/>
    <xf numFmtId="10" fontId="7" fillId="7" borderId="1" pivotButton="0" quotePrefix="0" xfId="0"/>
    <xf numFmtId="0" fontId="8" fillId="7" borderId="1" pivotButton="0" quotePrefix="0" xfId="0"/>
    <xf numFmtId="0" fontId="4" fillId="0" borderId="0" pivotButton="0" quotePrefix="0" xfId="0"/>
    <xf numFmtId="164" fontId="6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164" fontId="6" fillId="0" borderId="1" pivotButton="0" quotePrefix="0" xfId="0"/>
    <xf numFmtId="0" fontId="2" fillId="0" borderId="1" pivotButton="0" quotePrefix="0" xfId="0"/>
    <xf numFmtId="164" fontId="10" fillId="5" borderId="1" pivotButton="0" quotePrefix="0" xfId="0"/>
    <xf numFmtId="10" fontId="10" fillId="5" borderId="1" pivotButton="0" quotePrefix="0" xfId="0"/>
    <xf numFmtId="164" fontId="10" fillId="0" borderId="0" pivotButton="0" quotePrefix="0" xfId="0"/>
    <xf numFmtId="164" fontId="10" fillId="0" borderId="1" pivotButton="0" quotePrefix="0" xfId="0"/>
    <xf numFmtId="10" fontId="6" fillId="0" borderId="1" pivotButton="0" quotePrefix="0" xfId="0"/>
    <xf numFmtId="0" fontId="8" fillId="8" borderId="1" pivotButton="0" quotePrefix="0" xfId="0"/>
    <xf numFmtId="164" fontId="11" fillId="8" borderId="1" pivotButton="0" quotePrefix="0" xfId="0"/>
    <xf numFmtId="0" fontId="0" fillId="8" borderId="1" pivotButton="0" quotePrefix="0" xfId="0"/>
    <xf numFmtId="165" fontId="6" fillId="0" borderId="1" pivotButton="0" quotePrefix="0" xfId="0"/>
    <xf numFmtId="0" fontId="8" fillId="0" borderId="1" pivotButton="0" quotePrefix="0" xfId="0"/>
    <xf numFmtId="0" fontId="4" fillId="8" borderId="1" pivotButton="0" quotePrefix="0" xfId="0"/>
    <xf numFmtId="165" fontId="11" fillId="8" borderId="1" pivotButton="0" quotePrefix="0" xfId="0"/>
    <xf numFmtId="0" fontId="2" fillId="8" borderId="1" pivotButton="0" quotePrefix="0" xfId="0"/>
    <xf numFmtId="49" fontId="6" fillId="0" borderId="1" pivotButton="0" quotePrefix="0" xfId="0"/>
    <xf numFmtId="0" fontId="6" fillId="0" borderId="1" pivotButton="0" quotePrefix="0" xfId="0"/>
    <xf numFmtId="10" fontId="10" fillId="0" borderId="1" pivotButton="0" quotePrefix="0" xfId="0"/>
    <xf numFmtId="165" fontId="10" fillId="0" borderId="1" pivotButton="0" quotePrefix="0" xfId="0"/>
    <xf numFmtId="164" fontId="8" fillId="6" borderId="1" pivotButton="0" quotePrefix="0" xfId="0"/>
    <xf numFmtId="10" fontId="0" fillId="0" borderId="1" pivotButton="0" quotePrefix="0" xfId="0"/>
    <xf numFmtId="10" fontId="8" fillId="8" borderId="1" pivotButton="0" quotePrefix="0" xfId="0"/>
    <xf numFmtId="10" fontId="8" fillId="0" borderId="1" pivotButton="0" quotePrefix="0" xfId="0"/>
    <xf numFmtId="164" fontId="7" fillId="8" borderId="1" pivotButton="0" quotePrefix="0" xfId="0"/>
    <xf numFmtId="164" fontId="6" fillId="8" borderId="1" pivotButton="0" quotePrefix="0" xfId="0"/>
    <xf numFmtId="166" fontId="5" fillId="3" borderId="1" pivotButton="0" quotePrefix="0" xfId="0"/>
    <xf numFmtId="165" fontId="8" fillId="6" borderId="1" pivotButton="0" quotePrefix="0" xfId="0"/>
    <xf numFmtId="0" fontId="2" fillId="6" borderId="1" pivotButton="0" quotePrefix="0" xfId="0"/>
    <xf numFmtId="10" fontId="6" fillId="8" borderId="1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8" customWidth="1" min="2" max="2"/>
    <col width="7" customWidth="1" min="3" max="3"/>
    <col width="12" customWidth="1" min="4" max="4"/>
    <col width="12" customWidth="1" min="5" max="5"/>
    <col width="10" customWidth="1" min="6" max="6"/>
    <col width="8" customWidth="1" min="7" max="7"/>
    <col width="14" customWidth="1" min="8" max="8"/>
    <col width="14" customWidth="1" min="9" max="9"/>
    <col width="14" customWidth="1" min="10" max="10"/>
    <col width="11" customWidth="1" min="11" max="11"/>
    <col width="10" customWidth="1" min="12" max="12"/>
    <col width="10" customWidth="1" min="13" max="13"/>
    <col width="14" customWidth="1" min="14" max="14"/>
    <col width="14" customWidth="1" min="15" max="15"/>
    <col width="34" customWidth="1" min="16" max="16"/>
  </cols>
  <sheetData>
    <row r="1">
      <c r="A1" s="1" t="inlineStr">
        <is>
          <t>NII 净利息收入数据源 (Net Interest Income Data Source) — 中信银行 2025-12-31</t>
        </is>
      </c>
    </row>
    <row r="2">
      <c r="A2" s="2" t="inlineStr">
        <is>
          <t>🟢 绿区(蓝字) = 可编辑输入：期初/期末余额、年化利率、重定价β  |  🟣 浅紫区(紫字) = 自动计算：平均余额、有效计息、利息收入/支出  |  修改本表 → 利息收入明细 / 利息支出明细 / NII计量表 / 结构拆解 / 情景敏感性 全部自动联动</t>
        </is>
      </c>
    </row>
    <row r="3" ht="36" customHeight="1">
      <c r="A3" s="3" t="inlineStr">
        <is>
          <t>账户编码</t>
        </is>
      </c>
      <c r="B3" s="3" t="inlineStr">
        <is>
          <t>账户名称</t>
        </is>
      </c>
      <c r="C3" s="3" t="inlineStr">
        <is>
          <t>方向</t>
        </is>
      </c>
      <c r="D3" s="3" t="inlineStr">
        <is>
          <t>业务条线</t>
        </is>
      </c>
      <c r="E3" s="3" t="inlineStr">
        <is>
          <t>子类</t>
        </is>
      </c>
      <c r="F3" s="3" t="inlineStr">
        <is>
          <t>账户类型</t>
        </is>
      </c>
      <c r="G3" s="3" t="inlineStr">
        <is>
          <t>币种</t>
        </is>
      </c>
      <c r="H3" s="3" t="inlineStr">
        <is>
          <t>期初余额
(亿元)</t>
        </is>
      </c>
      <c r="I3" s="3" t="inlineStr">
        <is>
          <t>期末余额
(亿元)</t>
        </is>
      </c>
      <c r="J3" s="3" t="inlineStr">
        <is>
          <t>平均余额
(亿元)</t>
        </is>
      </c>
      <c r="K3" s="3" t="inlineStr">
        <is>
          <t>年化利率</t>
        </is>
      </c>
      <c r="L3" s="3" t="inlineStr">
        <is>
          <t>有效计息</t>
        </is>
      </c>
      <c r="M3" s="3" t="inlineStr">
        <is>
          <t>重定价β</t>
        </is>
      </c>
      <c r="N3" s="3" t="inlineStr">
        <is>
          <t>利息收入
(亿元)</t>
        </is>
      </c>
      <c r="O3" s="3" t="inlineStr">
        <is>
          <t>利息支出
(亿元)</t>
        </is>
      </c>
      <c r="P3" s="3" t="inlineStr">
        <is>
          <t>备注</t>
        </is>
      </c>
    </row>
    <row r="4">
      <c r="A4" s="4" t="inlineStr">
        <is>
          <t>S010101010000</t>
        </is>
      </c>
      <c r="B4" s="4" t="inlineStr">
        <is>
          <t>1.1.对公一般贷款</t>
        </is>
      </c>
      <c r="C4" s="4" t="inlineStr">
        <is>
          <t>资产</t>
        </is>
      </c>
      <c r="D4" s="4" t="inlineStr">
        <is>
          <t>贷款类</t>
        </is>
      </c>
      <c r="E4" s="4" t="inlineStr">
        <is>
          <t>对公</t>
        </is>
      </c>
      <c r="F4" s="4" t="inlineStr">
        <is>
          <t>信贷</t>
        </is>
      </c>
      <c r="G4" s="4" t="inlineStr">
        <is>
          <t>人民币</t>
        </is>
      </c>
      <c r="H4" s="5" t="n">
        <v>27685.56</v>
      </c>
      <c r="I4" s="5" t="n">
        <v>29452.72</v>
      </c>
      <c r="J4" s="6">
        <f>(H4+I4)/2</f>
        <v/>
      </c>
      <c r="K4" s="7" t="n">
        <v>0.0465</v>
      </c>
      <c r="L4" s="8">
        <f>IF(K4&gt;0,"是","否")</f>
        <v/>
      </c>
      <c r="M4" s="5" t="n">
        <v>0.6</v>
      </c>
      <c r="N4" s="6">
        <f>IF(AND($C4="资产",$L4="是"),$J4*$K4,0)</f>
        <v/>
      </c>
      <c r="O4" s="6">
        <f>IF(AND($C4="负债",$L4="是"),$J4*$K4,0)</f>
        <v/>
      </c>
      <c r="P4" s="4" t="inlineStr">
        <is>
          <t>对公一般贷款 年化 4.65%</t>
        </is>
      </c>
    </row>
    <row r="5">
      <c r="A5" s="4" t="inlineStr">
        <is>
          <t>S010101020000</t>
        </is>
      </c>
      <c r="B5" s="4" t="inlineStr">
        <is>
          <t>1.2.个人贷款</t>
        </is>
      </c>
      <c r="C5" s="4" t="inlineStr">
        <is>
          <t>资产</t>
        </is>
      </c>
      <c r="D5" s="4" t="inlineStr">
        <is>
          <t>贷款类</t>
        </is>
      </c>
      <c r="E5" s="4" t="inlineStr">
        <is>
          <t>零售</t>
        </is>
      </c>
      <c r="F5" s="4" t="inlineStr">
        <is>
          <t>信贷</t>
        </is>
      </c>
      <c r="G5" s="4" t="inlineStr">
        <is>
          <t>人民币</t>
        </is>
      </c>
      <c r="H5" s="5" t="n">
        <v>17184.95</v>
      </c>
      <c r="I5" s="5" t="n">
        <v>18281.87</v>
      </c>
      <c r="J5" s="6">
        <f>(H5+I5)/2</f>
        <v/>
      </c>
      <c r="K5" s="7" t="n">
        <v>0.0485</v>
      </c>
      <c r="L5" s="8">
        <f>IF(K5&gt;0,"是","否")</f>
        <v/>
      </c>
      <c r="M5" s="5" t="n">
        <v>0.6</v>
      </c>
      <c r="N5" s="6">
        <f>IF(AND($C5="资产",$L5="是"),$J5*$K5,0)</f>
        <v/>
      </c>
      <c r="O5" s="6">
        <f>IF(AND($C5="负债",$L5="是"),$J5*$K5,0)</f>
        <v/>
      </c>
      <c r="P5" s="4" t="inlineStr">
        <is>
          <t>个人贷款 年化 4.85%</t>
        </is>
      </c>
    </row>
    <row r="6">
      <c r="A6" s="4" t="inlineStr">
        <is>
          <t>S010101030000</t>
        </is>
      </c>
      <c r="B6" s="4" t="inlineStr">
        <is>
          <t>1.3.信用卡贷款</t>
        </is>
      </c>
      <c r="C6" s="4" t="inlineStr">
        <is>
          <t>资产</t>
        </is>
      </c>
      <c r="D6" s="4" t="inlineStr">
        <is>
          <t>贷款类</t>
        </is>
      </c>
      <c r="E6" s="4" t="inlineStr">
        <is>
          <t>信用卡</t>
        </is>
      </c>
      <c r="F6" s="4" t="inlineStr">
        <is>
          <t>信贷</t>
        </is>
      </c>
      <c r="G6" s="4" t="inlineStr">
        <is>
          <t>人民币</t>
        </is>
      </c>
      <c r="H6" s="5" t="n">
        <v>4089.63</v>
      </c>
      <c r="I6" s="5" t="n">
        <v>4445.26</v>
      </c>
      <c r="J6" s="6">
        <f>(H6+I6)/2</f>
        <v/>
      </c>
      <c r="K6" s="7" t="n">
        <v>0.1205</v>
      </c>
      <c r="L6" s="8">
        <f>IF(K6&gt;0,"是","否")</f>
        <v/>
      </c>
      <c r="M6" s="5" t="n">
        <v>0.75</v>
      </c>
      <c r="N6" s="6">
        <f>IF(AND($C6="资产",$L6="是"),$J6*$K6,0)</f>
        <v/>
      </c>
      <c r="O6" s="6">
        <f>IF(AND($C6="负债",$L6="是"),$J6*$K6,0)</f>
        <v/>
      </c>
      <c r="P6" s="4" t="inlineStr">
        <is>
          <t>信用卡贷款 年化 12.05%</t>
        </is>
      </c>
    </row>
    <row r="7">
      <c r="A7" s="4" t="inlineStr">
        <is>
          <t>S010101040000</t>
        </is>
      </c>
      <c r="B7" s="4" t="inlineStr">
        <is>
          <t>1.4.票据贴现</t>
        </is>
      </c>
      <c r="C7" s="4" t="inlineStr">
        <is>
          <t>资产</t>
        </is>
      </c>
      <c r="D7" s="4" t="inlineStr">
        <is>
          <t>贷款类</t>
        </is>
      </c>
      <c r="E7" s="4" t="inlineStr">
        <is>
          <t>票据</t>
        </is>
      </c>
      <c r="F7" s="4" t="inlineStr">
        <is>
          <t>信贷</t>
        </is>
      </c>
      <c r="G7" s="4" t="inlineStr">
        <is>
          <t>人民币</t>
        </is>
      </c>
      <c r="H7" s="5" t="n">
        <v>1912.73</v>
      </c>
      <c r="I7" s="5" t="n">
        <v>2013.4</v>
      </c>
      <c r="J7" s="6">
        <f>(H7+I7)/2</f>
        <v/>
      </c>
      <c r="K7" s="7" t="n">
        <v>0.0255</v>
      </c>
      <c r="L7" s="8">
        <f>IF(K7&gt;0,"是","否")</f>
        <v/>
      </c>
      <c r="M7" s="5" t="n">
        <v>0.9</v>
      </c>
      <c r="N7" s="6">
        <f>IF(AND($C7="资产",$L7="是"),$J7*$K7,0)</f>
        <v/>
      </c>
      <c r="O7" s="6">
        <f>IF(AND($C7="负债",$L7="是"),$J7*$K7,0)</f>
        <v/>
      </c>
      <c r="P7" s="4" t="inlineStr">
        <is>
          <t>票据贴现 年化 2.55%</t>
        </is>
      </c>
    </row>
    <row r="8">
      <c r="A8" s="4" t="inlineStr">
        <is>
          <t>S010101050000</t>
        </is>
      </c>
      <c r="B8" s="4" t="inlineStr">
        <is>
          <t>1.5.非银贷款</t>
        </is>
      </c>
      <c r="C8" s="4" t="inlineStr">
        <is>
          <t>资产</t>
        </is>
      </c>
      <c r="D8" s="4" t="inlineStr">
        <is>
          <t>贷款类</t>
        </is>
      </c>
      <c r="E8" s="4" t="inlineStr">
        <is>
          <t>非银</t>
        </is>
      </c>
      <c r="F8" s="4" t="inlineStr">
        <is>
          <t>信贷</t>
        </is>
      </c>
      <c r="G8" s="4" t="inlineStr">
        <is>
          <t>人民币</t>
        </is>
      </c>
      <c r="H8" s="5" t="n">
        <v>3345.39</v>
      </c>
      <c r="I8" s="5" t="n">
        <v>3484.78</v>
      </c>
      <c r="J8" s="6">
        <f>(H8+I8)/2</f>
        <v/>
      </c>
      <c r="K8" s="7" t="n">
        <v>0.0405</v>
      </c>
      <c r="L8" s="8">
        <f>IF(K8&gt;0,"是","否")</f>
        <v/>
      </c>
      <c r="M8" s="5" t="n">
        <v>0.8</v>
      </c>
      <c r="N8" s="6">
        <f>IF(AND($C8="资产",$L8="是"),$J8*$K8,0)</f>
        <v/>
      </c>
      <c r="O8" s="6">
        <f>IF(AND($C8="负债",$L8="是"),$J8*$K8,0)</f>
        <v/>
      </c>
      <c r="P8" s="4" t="inlineStr">
        <is>
          <t>非银贷款 年化 4.05%</t>
        </is>
      </c>
    </row>
    <row r="9">
      <c r="A9" s="4" t="inlineStr">
        <is>
          <t>S010102010101</t>
        </is>
      </c>
      <c r="B9" s="4" t="inlineStr">
        <is>
          <t>2.1.1.1金市自营 AC</t>
        </is>
      </c>
      <c r="C9" s="4" t="inlineStr">
        <is>
          <t>资产</t>
        </is>
      </c>
      <c r="D9" s="4" t="inlineStr">
        <is>
          <t>债券投资类</t>
        </is>
      </c>
      <c r="E9" s="4" t="inlineStr">
        <is>
          <t>AC</t>
        </is>
      </c>
      <c r="F9" s="4" t="inlineStr">
        <is>
          <t>投资</t>
        </is>
      </c>
      <c r="G9" s="4" t="inlineStr">
        <is>
          <t>人民币</t>
        </is>
      </c>
      <c r="H9" s="5" t="n">
        <v>5602.99</v>
      </c>
      <c r="I9" s="5" t="n">
        <v>5439.8</v>
      </c>
      <c r="J9" s="6">
        <f>(H9+I9)/2</f>
        <v/>
      </c>
      <c r="K9" s="7" t="n">
        <v>0.0325</v>
      </c>
      <c r="L9" s="8">
        <f>IF(K9&gt;0,"是","否")</f>
        <v/>
      </c>
      <c r="M9" s="5" t="n">
        <v>0.5</v>
      </c>
      <c r="N9" s="6">
        <f>IF(AND($C9="资产",$L9="是"),$J9*$K9,0)</f>
        <v/>
      </c>
      <c r="O9" s="6">
        <f>IF(AND($C9="负债",$L9="是"),$J9*$K9,0)</f>
        <v/>
      </c>
      <c r="P9" s="4" t="inlineStr">
        <is>
          <t>金市自营 AC 年化 3.25%</t>
        </is>
      </c>
    </row>
    <row r="10">
      <c r="A10" s="4" t="inlineStr">
        <is>
          <t>S010102010102</t>
        </is>
      </c>
      <c r="B10" s="4" t="inlineStr">
        <is>
          <t>2.1.1.2金市自营 FVOCI</t>
        </is>
      </c>
      <c r="C10" s="4" t="inlineStr">
        <is>
          <t>资产</t>
        </is>
      </c>
      <c r="D10" s="4" t="inlineStr">
        <is>
          <t>债券投资类</t>
        </is>
      </c>
      <c r="E10" s="4" t="inlineStr">
        <is>
          <t>FVOCI</t>
        </is>
      </c>
      <c r="F10" s="4" t="inlineStr">
        <is>
          <t>投资</t>
        </is>
      </c>
      <c r="G10" s="4" t="inlineStr">
        <is>
          <t>人民币</t>
        </is>
      </c>
      <c r="H10" s="5" t="n">
        <v>6596.15</v>
      </c>
      <c r="I10" s="5" t="n">
        <v>6404.02</v>
      </c>
      <c r="J10" s="6">
        <f>(H10+I10)/2</f>
        <v/>
      </c>
      <c r="K10" s="7" t="n">
        <v>0.0305</v>
      </c>
      <c r="L10" s="8">
        <f>IF(K10&gt;0,"是","否")</f>
        <v/>
      </c>
      <c r="M10" s="5" t="n">
        <v>0.5</v>
      </c>
      <c r="N10" s="6">
        <f>IF(AND($C10="资产",$L10="是"),$J10*$K10,0)</f>
        <v/>
      </c>
      <c r="O10" s="6">
        <f>IF(AND($C10="负债",$L10="是"),$J10*$K10,0)</f>
        <v/>
      </c>
      <c r="P10" s="4" t="inlineStr">
        <is>
          <t>金市自营 FVOCI 年化 3.05%</t>
        </is>
      </c>
    </row>
    <row r="11">
      <c r="A11" s="4" t="inlineStr">
        <is>
          <t>S010102010103</t>
        </is>
      </c>
      <c r="B11" s="4" t="inlineStr">
        <is>
          <t>2.1.1.3金市自营 FVTPL</t>
        </is>
      </c>
      <c r="C11" s="4" t="inlineStr">
        <is>
          <t>资产</t>
        </is>
      </c>
      <c r="D11" s="4" t="inlineStr">
        <is>
          <t>债券投资类</t>
        </is>
      </c>
      <c r="E11" s="4" t="inlineStr">
        <is>
          <t>FVTPL</t>
        </is>
      </c>
      <c r="F11" s="4" t="inlineStr">
        <is>
          <t>投资</t>
        </is>
      </c>
      <c r="G11" s="4" t="inlineStr">
        <is>
          <t>人民币</t>
        </is>
      </c>
      <c r="H11" s="5" t="n">
        <v>515</v>
      </c>
      <c r="I11" s="5" t="n">
        <v>500</v>
      </c>
      <c r="J11" s="6">
        <f>(H11+I11)/2</f>
        <v/>
      </c>
      <c r="K11" s="7" t="n">
        <v>0</v>
      </c>
      <c r="L11" s="8">
        <f>IF(K11&gt;0,"是","否")</f>
        <v/>
      </c>
      <c r="M11" s="5" t="n">
        <v>0.5</v>
      </c>
      <c r="N11" s="6">
        <f>IF(AND($C11="资产",$L11="是"),$J11*$K11,0)</f>
        <v/>
      </c>
      <c r="O11" s="6">
        <f>IF(AND($C11="负债",$L11="是"),$J11*$K11,0)</f>
        <v/>
      </c>
      <c r="P11" s="4" t="inlineStr">
        <is>
          <t>金市自营 FVTPL 票息 0%</t>
        </is>
      </c>
    </row>
    <row r="12">
      <c r="A12" s="4" t="inlineStr">
        <is>
          <t>S010102010201</t>
        </is>
      </c>
      <c r="B12" s="4" t="inlineStr">
        <is>
          <t>2.1.2.1司库 AC</t>
        </is>
      </c>
      <c r="C12" s="4" t="inlineStr">
        <is>
          <t>资产</t>
        </is>
      </c>
      <c r="D12" s="4" t="inlineStr">
        <is>
          <t>债券投资类</t>
        </is>
      </c>
      <c r="E12" s="4" t="inlineStr">
        <is>
          <t>AC</t>
        </is>
      </c>
      <c r="F12" s="4" t="inlineStr">
        <is>
          <t>投资</t>
        </is>
      </c>
      <c r="G12" s="4" t="inlineStr">
        <is>
          <t>人民币</t>
        </is>
      </c>
      <c r="H12" s="5" t="n">
        <v>5833.42</v>
      </c>
      <c r="I12" s="5" t="n">
        <v>5663.51</v>
      </c>
      <c r="J12" s="6">
        <f>(H12+I12)/2</f>
        <v/>
      </c>
      <c r="K12" s="7" t="n">
        <v>0.0325</v>
      </c>
      <c r="L12" s="8">
        <f>IF(K12&gt;0,"是","否")</f>
        <v/>
      </c>
      <c r="M12" s="5" t="n">
        <v>0.5</v>
      </c>
      <c r="N12" s="6">
        <f>IF(AND($C12="资产",$L12="是"),$J12*$K12,0)</f>
        <v/>
      </c>
      <c r="O12" s="6">
        <f>IF(AND($C12="负债",$L12="是"),$J12*$K12,0)</f>
        <v/>
      </c>
      <c r="P12" s="4" t="inlineStr">
        <is>
          <t>司库 AC 年化 3.25%</t>
        </is>
      </c>
    </row>
    <row r="13">
      <c r="A13" s="4" t="inlineStr">
        <is>
          <t>S010102010202</t>
        </is>
      </c>
      <c r="B13" s="4" t="inlineStr">
        <is>
          <t>2.1.2.2司库 FVOCI</t>
        </is>
      </c>
      <c r="C13" s="4" t="inlineStr">
        <is>
          <t>资产</t>
        </is>
      </c>
      <c r="D13" s="4" t="inlineStr">
        <is>
          <t>债券投资类</t>
        </is>
      </c>
      <c r="E13" s="4" t="inlineStr">
        <is>
          <t>FVOCI</t>
        </is>
      </c>
      <c r="F13" s="4" t="inlineStr">
        <is>
          <t>投资</t>
        </is>
      </c>
      <c r="G13" s="4" t="inlineStr">
        <is>
          <t>人民币</t>
        </is>
      </c>
      <c r="H13" s="5" t="n">
        <v>449.77</v>
      </c>
      <c r="I13" s="5" t="n">
        <v>436.67</v>
      </c>
      <c r="J13" s="6">
        <f>(H13+I13)/2</f>
        <v/>
      </c>
      <c r="K13" s="7" t="n">
        <v>0.0305</v>
      </c>
      <c r="L13" s="8">
        <f>IF(K13&gt;0,"是","否")</f>
        <v/>
      </c>
      <c r="M13" s="5" t="n">
        <v>0.5</v>
      </c>
      <c r="N13" s="6">
        <f>IF(AND($C13="资产",$L13="是"),$J13*$K13,0)</f>
        <v/>
      </c>
      <c r="O13" s="6">
        <f>IF(AND($C13="负债",$L13="是"),$J13*$K13,0)</f>
        <v/>
      </c>
      <c r="P13" s="4" t="inlineStr">
        <is>
          <t>司库 FVOCI 年化 3.05%</t>
        </is>
      </c>
    </row>
    <row r="14">
      <c r="A14" s="4" t="inlineStr">
        <is>
          <t>S010102010203</t>
        </is>
      </c>
      <c r="B14" s="4" t="inlineStr">
        <is>
          <t>2.1.2.3司库 FVTPL</t>
        </is>
      </c>
      <c r="C14" s="4" t="inlineStr">
        <is>
          <t>资产</t>
        </is>
      </c>
      <c r="D14" s="4" t="inlineStr">
        <is>
          <t>债券投资类</t>
        </is>
      </c>
      <c r="E14" s="4" t="inlineStr">
        <is>
          <t>FVTPL</t>
        </is>
      </c>
      <c r="F14" s="4" t="inlineStr">
        <is>
          <t>投资</t>
        </is>
      </c>
      <c r="G14" s="4" t="inlineStr">
        <is>
          <t>人民币</t>
        </is>
      </c>
      <c r="H14" s="5" t="n">
        <v>309</v>
      </c>
      <c r="I14" s="5" t="n">
        <v>300</v>
      </c>
      <c r="J14" s="6">
        <f>(H14+I14)/2</f>
        <v/>
      </c>
      <c r="K14" s="7" t="n">
        <v>0</v>
      </c>
      <c r="L14" s="8">
        <f>IF(K14&gt;0,"是","否")</f>
        <v/>
      </c>
      <c r="M14" s="5" t="n">
        <v>0.5</v>
      </c>
      <c r="N14" s="6">
        <f>IF(AND($C14="资产",$L14="是"),$J14*$K14,0)</f>
        <v/>
      </c>
      <c r="O14" s="6">
        <f>IF(AND($C14="负债",$L14="是"),$J14*$K14,0)</f>
        <v/>
      </c>
      <c r="P14" s="4" t="inlineStr">
        <is>
          <t>司库 FVTPL 票息 0%</t>
        </is>
      </c>
    </row>
    <row r="15">
      <c r="A15" s="4" t="inlineStr">
        <is>
          <t>S010102020000</t>
        </is>
      </c>
      <c r="B15" s="4" t="inlineStr">
        <is>
          <t>2.2.结构化融资</t>
        </is>
      </c>
      <c r="C15" s="4" t="inlineStr">
        <is>
          <t>资产</t>
        </is>
      </c>
      <c r="D15" s="4" t="inlineStr">
        <is>
          <t>金融市场类</t>
        </is>
      </c>
      <c r="E15" s="4" t="inlineStr">
        <is>
          <t>结构化</t>
        </is>
      </c>
      <c r="F15" s="4" t="inlineStr">
        <is>
          <t>金融</t>
        </is>
      </c>
      <c r="G15" s="4" t="inlineStr">
        <is>
          <t>人民币</t>
        </is>
      </c>
      <c r="H15" s="5" t="n">
        <v>1908.1</v>
      </c>
      <c r="I15" s="5" t="n">
        <v>2051.72</v>
      </c>
      <c r="J15" s="6">
        <f>(H15+I15)/2</f>
        <v/>
      </c>
      <c r="K15" s="7" t="n">
        <v>0.0455</v>
      </c>
      <c r="L15" s="8">
        <f>IF(K15&gt;0,"是","否")</f>
        <v/>
      </c>
      <c r="M15" s="5" t="n">
        <v>0.85</v>
      </c>
      <c r="N15" s="6">
        <f>IF(AND($C15="资产",$L15="是"),$J15*$K15,0)</f>
        <v/>
      </c>
      <c r="O15" s="6">
        <f>IF(AND($C15="负债",$L15="是"),$J15*$K15,0)</f>
        <v/>
      </c>
      <c r="P15" s="4" t="inlineStr">
        <is>
          <t>结构化融资 年化 4.55%</t>
        </is>
      </c>
    </row>
    <row r="16">
      <c r="A16" s="4" t="inlineStr">
        <is>
          <t>S010102030000</t>
        </is>
      </c>
      <c r="B16" s="4" t="inlineStr">
        <is>
          <t>2.3.同业资产（不含拆放非银）</t>
        </is>
      </c>
      <c r="C16" s="4" t="inlineStr">
        <is>
          <t>资产</t>
        </is>
      </c>
      <c r="D16" s="4" t="inlineStr">
        <is>
          <t>金融市场类</t>
        </is>
      </c>
      <c r="E16" s="4" t="inlineStr">
        <is>
          <t>同业资产</t>
        </is>
      </c>
      <c r="F16" s="4" t="inlineStr">
        <is>
          <t>金融</t>
        </is>
      </c>
      <c r="G16" s="4" t="inlineStr">
        <is>
          <t>人民币</t>
        </is>
      </c>
      <c r="H16" s="5" t="n">
        <v>2282.68</v>
      </c>
      <c r="I16" s="5" t="n">
        <v>2481.18</v>
      </c>
      <c r="J16" s="6">
        <f>(H16+I16)/2</f>
        <v/>
      </c>
      <c r="K16" s="7" t="n">
        <v>0.0225</v>
      </c>
      <c r="L16" s="8">
        <f>IF(K16&gt;0,"是","否")</f>
        <v/>
      </c>
      <c r="M16" s="5" t="n">
        <v>0.95</v>
      </c>
      <c r="N16" s="6">
        <f>IF(AND($C16="资产",$L16="是"),$J16*$K16,0)</f>
        <v/>
      </c>
      <c r="O16" s="6">
        <f>IF(AND($C16="负债",$L16="是"),$J16*$K16,0)</f>
        <v/>
      </c>
      <c r="P16" s="4" t="inlineStr">
        <is>
          <t>同业资产 年化 2.25%</t>
        </is>
      </c>
    </row>
    <row r="17">
      <c r="A17" s="4" t="inlineStr">
        <is>
          <t>S010102040000</t>
        </is>
      </c>
      <c r="B17" s="4" t="inlineStr">
        <is>
          <t>2.4.存款准备金</t>
        </is>
      </c>
      <c r="C17" s="4" t="inlineStr">
        <is>
          <t>资产</t>
        </is>
      </c>
      <c r="D17" s="4" t="inlineStr">
        <is>
          <t>金融市场类</t>
        </is>
      </c>
      <c r="E17" s="4" t="inlineStr">
        <is>
          <t>准备金</t>
        </is>
      </c>
      <c r="F17" s="4" t="inlineStr">
        <is>
          <t>金融</t>
        </is>
      </c>
      <c r="G17" s="4" t="inlineStr">
        <is>
          <t>人民币</t>
        </is>
      </c>
      <c r="H17" s="5" t="n">
        <v>3580.48</v>
      </c>
      <c r="I17" s="5" t="n">
        <v>3653.55</v>
      </c>
      <c r="J17" s="6">
        <f>(H17+I17)/2</f>
        <v/>
      </c>
      <c r="K17" s="7" t="n">
        <v>0.0185</v>
      </c>
      <c r="L17" s="8">
        <f>IF(K17&gt;0,"是","否")</f>
        <v/>
      </c>
      <c r="M17" s="5" t="n">
        <v>0.95</v>
      </c>
      <c r="N17" s="6">
        <f>IF(AND($C17="资产",$L17="是"),$J17*$K17,0)</f>
        <v/>
      </c>
      <c r="O17" s="6">
        <f>IF(AND($C17="负债",$L17="是"),$J17*$K17,0)</f>
        <v/>
      </c>
      <c r="P17" s="4" t="inlineStr">
        <is>
          <t>法定存款准备金 年化 1.85%</t>
        </is>
      </c>
    </row>
    <row r="18">
      <c r="A18" s="4" t="inlineStr">
        <is>
          <t>S010103010000</t>
        </is>
      </c>
      <c r="B18" s="4" t="inlineStr">
        <is>
          <t>3.1.FVTPL类资产</t>
        </is>
      </c>
      <c r="C18" s="4" t="inlineStr">
        <is>
          <t>资产</t>
        </is>
      </c>
      <c r="D18" s="4" t="inlineStr">
        <is>
          <t>非生息资产</t>
        </is>
      </c>
      <c r="E18" s="4" t="inlineStr">
        <is>
          <t>交易性</t>
        </is>
      </c>
      <c r="F18" s="4" t="inlineStr">
        <is>
          <t>非息</t>
        </is>
      </c>
      <c r="G18" s="4" t="inlineStr">
        <is>
          <t>人民币</t>
        </is>
      </c>
      <c r="H18" s="5" t="n">
        <v>6210.55</v>
      </c>
      <c r="I18" s="5" t="n">
        <v>6402.62</v>
      </c>
      <c r="J18" s="6">
        <f>(H18+I18)/2</f>
        <v/>
      </c>
      <c r="K18" s="7" t="n">
        <v>0</v>
      </c>
      <c r="L18" s="8">
        <f>IF(K18&gt;0,"是","否")</f>
        <v/>
      </c>
      <c r="M18" s="5" t="n">
        <v>0</v>
      </c>
      <c r="N18" s="6">
        <f>IF(AND($C18="资产",$L18="是"),$J18*$K18,0)</f>
        <v/>
      </c>
      <c r="O18" s="6">
        <f>IF(AND($C18="负债",$L18="是"),$J18*$K18,0)</f>
        <v/>
      </c>
      <c r="P18" s="4" t="inlineStr">
        <is>
          <t>FVTPL 计入生息资产但不计息，NII 模版单列剔除</t>
        </is>
      </c>
    </row>
    <row r="19">
      <c r="A19" s="4" t="inlineStr">
        <is>
          <t>S010103020100</t>
        </is>
      </c>
      <c r="B19" s="4" t="inlineStr">
        <is>
          <t>3.2.1.现金</t>
        </is>
      </c>
      <c r="C19" s="4" t="inlineStr">
        <is>
          <t>资产</t>
        </is>
      </c>
      <c r="D19" s="4" t="inlineStr">
        <is>
          <t>非生息资产</t>
        </is>
      </c>
      <c r="E19" s="4" t="inlineStr">
        <is>
          <t>现金</t>
        </is>
      </c>
      <c r="F19" s="4" t="inlineStr">
        <is>
          <t>非息</t>
        </is>
      </c>
      <c r="G19" s="4" t="inlineStr">
        <is>
          <t>人民币</t>
        </is>
      </c>
      <c r="H19" s="5" t="n">
        <v>1275.17</v>
      </c>
      <c r="I19" s="5" t="n">
        <v>1275.17</v>
      </c>
      <c r="J19" s="6">
        <f>(H19+I19)/2</f>
        <v/>
      </c>
      <c r="K19" s="7" t="n">
        <v>0</v>
      </c>
      <c r="L19" s="8">
        <f>IF(K19&gt;0,"是","否")</f>
        <v/>
      </c>
      <c r="M19" s="5" t="n">
        <v>0</v>
      </c>
      <c r="N19" s="6">
        <f>IF(AND($C19="资产",$L19="是"),$J19*$K19,0)</f>
        <v/>
      </c>
      <c r="O19" s="6">
        <f>IF(AND($C19="负债",$L19="是"),$J19*$K19,0)</f>
        <v/>
      </c>
      <c r="P19" s="4" t="inlineStr">
        <is>
          <t>现金及存放央行，NII 模版单列剔除</t>
        </is>
      </c>
    </row>
    <row r="20">
      <c r="A20" s="4" t="inlineStr">
        <is>
          <t>S010103020200</t>
        </is>
      </c>
      <c r="B20" s="4" t="inlineStr">
        <is>
          <t>3.2.2.其它非生息资产</t>
        </is>
      </c>
      <c r="C20" s="4" t="inlineStr">
        <is>
          <t>资产</t>
        </is>
      </c>
      <c r="D20" s="4" t="inlineStr">
        <is>
          <t>非生息资产</t>
        </is>
      </c>
      <c r="E20" s="4" t="inlineStr">
        <is>
          <t>其他</t>
        </is>
      </c>
      <c r="F20" s="4" t="inlineStr">
        <is>
          <t>非息</t>
        </is>
      </c>
      <c r="G20" s="4" t="inlineStr">
        <is>
          <t>人民币</t>
        </is>
      </c>
      <c r="H20" s="5" t="n">
        <v>980</v>
      </c>
      <c r="I20" s="5" t="n">
        <v>1000</v>
      </c>
      <c r="J20" s="6">
        <f>(H20+I20)/2</f>
        <v/>
      </c>
      <c r="K20" s="7" t="n">
        <v>0</v>
      </c>
      <c r="L20" s="8">
        <f>IF(K20&gt;0,"是","否")</f>
        <v/>
      </c>
      <c r="M20" s="5" t="n">
        <v>0</v>
      </c>
      <c r="N20" s="6">
        <f>IF(AND($C20="资产",$L20="是"),$J20*$K20,0)</f>
        <v/>
      </c>
      <c r="O20" s="6">
        <f>IF(AND($C20="负债",$L20="是"),$J20*$K20,0)</f>
        <v/>
      </c>
      <c r="P20" s="4" t="inlineStr">
        <is>
          <t>其他非生息资产，NII 模版单列剔除</t>
        </is>
      </c>
    </row>
    <row r="21">
      <c r="A21" s="4" t="inlineStr">
        <is>
          <t>S010201000000</t>
        </is>
      </c>
      <c r="B21" s="4" t="inlineStr">
        <is>
          <t>1.外币贷款</t>
        </is>
      </c>
      <c r="C21" s="4" t="inlineStr">
        <is>
          <t>资产</t>
        </is>
      </c>
      <c r="D21" s="4" t="inlineStr">
        <is>
          <t>外币资产</t>
        </is>
      </c>
      <c r="E21" s="4" t="inlineStr">
        <is>
          <t>外币贷款</t>
        </is>
      </c>
      <c r="F21" s="4" t="inlineStr">
        <is>
          <t>外币</t>
        </is>
      </c>
      <c r="G21" s="4" t="inlineStr">
        <is>
          <t>外币</t>
        </is>
      </c>
      <c r="H21" s="5" t="n">
        <v>768</v>
      </c>
      <c r="I21" s="5" t="n">
        <v>800</v>
      </c>
      <c r="J21" s="6">
        <f>(H21+I21)/2</f>
        <v/>
      </c>
      <c r="K21" s="7" t="n">
        <v>0.0505</v>
      </c>
      <c r="L21" s="8">
        <f>IF(K21&gt;0,"是","否")</f>
        <v/>
      </c>
      <c r="M21" s="5" t="n">
        <v>0.7</v>
      </c>
      <c r="N21" s="6">
        <f>IF(AND($C21="资产",$L21="是"),$J21*$K21,0)</f>
        <v/>
      </c>
      <c r="O21" s="6">
        <f>IF(AND($C21="负债",$L21="是"),$J21*$K21,0)</f>
        <v/>
      </c>
      <c r="P21" s="4" t="inlineStr">
        <is>
          <t>外币贷款（折人民币）年化 5.05%</t>
        </is>
      </c>
    </row>
    <row r="22">
      <c r="A22" s="4" t="inlineStr">
        <is>
          <t>S010202010000</t>
        </is>
      </c>
      <c r="B22" s="4" t="inlineStr">
        <is>
          <t>2.1.外币债券</t>
        </is>
      </c>
      <c r="C22" s="4" t="inlineStr">
        <is>
          <t>资产</t>
        </is>
      </c>
      <c r="D22" s="4" t="inlineStr">
        <is>
          <t>外币资产</t>
        </is>
      </c>
      <c r="E22" s="4" t="inlineStr">
        <is>
          <t>外币债券</t>
        </is>
      </c>
      <c r="F22" s="4" t="inlineStr">
        <is>
          <t>外币</t>
        </is>
      </c>
      <c r="G22" s="4" t="inlineStr">
        <is>
          <t>外币</t>
        </is>
      </c>
      <c r="H22" s="5" t="n">
        <v>357</v>
      </c>
      <c r="I22" s="5" t="n">
        <v>350</v>
      </c>
      <c r="J22" s="6">
        <f>(H22+I22)/2</f>
        <v/>
      </c>
      <c r="K22" s="7" t="n">
        <v>0.0355</v>
      </c>
      <c r="L22" s="8">
        <f>IF(K22&gt;0,"是","否")</f>
        <v/>
      </c>
      <c r="M22" s="5" t="n">
        <v>0.6</v>
      </c>
      <c r="N22" s="6">
        <f>IF(AND($C22="资产",$L22="是"),$J22*$K22,0)</f>
        <v/>
      </c>
      <c r="O22" s="6">
        <f>IF(AND($C22="负债",$L22="是"),$J22*$K22,0)</f>
        <v/>
      </c>
      <c r="P22" s="4" t="inlineStr">
        <is>
          <t>外币债券（折人民币）年化 3.55%</t>
        </is>
      </c>
    </row>
    <row r="23">
      <c r="A23" s="4" t="inlineStr">
        <is>
          <t>S010202020000</t>
        </is>
      </c>
      <c r="B23" s="4" t="inlineStr">
        <is>
          <t>2.2.外币同业资产</t>
        </is>
      </c>
      <c r="C23" s="4" t="inlineStr">
        <is>
          <t>资产</t>
        </is>
      </c>
      <c r="D23" s="4" t="inlineStr">
        <is>
          <t>外币资产</t>
        </is>
      </c>
      <c r="E23" s="4" t="inlineStr">
        <is>
          <t>外币同业</t>
        </is>
      </c>
      <c r="F23" s="4" t="inlineStr">
        <is>
          <t>外币</t>
        </is>
      </c>
      <c r="G23" s="4" t="inlineStr">
        <is>
          <t>外币</t>
        </is>
      </c>
      <c r="H23" s="5" t="n">
        <v>235</v>
      </c>
      <c r="I23" s="5" t="n">
        <v>250</v>
      </c>
      <c r="J23" s="6">
        <f>(H23+I23)/2</f>
        <v/>
      </c>
      <c r="K23" s="7" t="n">
        <v>0.0355</v>
      </c>
      <c r="L23" s="8">
        <f>IF(K23&gt;0,"是","否")</f>
        <v/>
      </c>
      <c r="M23" s="5" t="n">
        <v>0.9</v>
      </c>
      <c r="N23" s="6">
        <f>IF(AND($C23="资产",$L23="是"),$J23*$K23,0)</f>
        <v/>
      </c>
      <c r="O23" s="6">
        <f>IF(AND($C23="负债",$L23="是"),$J23*$K23,0)</f>
        <v/>
      </c>
      <c r="P23" s="4" t="inlineStr">
        <is>
          <t>外币同业（折人民币）年化 3.55%</t>
        </is>
      </c>
    </row>
    <row r="24">
      <c r="A24" s="4" t="inlineStr">
        <is>
          <t>S010203000000</t>
        </is>
      </c>
      <c r="B24" s="4" t="inlineStr">
        <is>
          <t>3.外币非生息资产</t>
        </is>
      </c>
      <c r="C24" s="4" t="inlineStr">
        <is>
          <t>资产</t>
        </is>
      </c>
      <c r="D24" s="4" t="inlineStr">
        <is>
          <t>外币资产</t>
        </is>
      </c>
      <c r="E24" s="4" t="inlineStr">
        <is>
          <t>外币非生息</t>
        </is>
      </c>
      <c r="F24" s="4" t="inlineStr">
        <is>
          <t>外币</t>
        </is>
      </c>
      <c r="G24" s="4" t="inlineStr">
        <is>
          <t>外币</t>
        </is>
      </c>
      <c r="H24" s="5" t="n">
        <v>99</v>
      </c>
      <c r="I24" s="5" t="n">
        <v>100</v>
      </c>
      <c r="J24" s="6">
        <f>(H24+I24)/2</f>
        <v/>
      </c>
      <c r="K24" s="7" t="n">
        <v>0</v>
      </c>
      <c r="L24" s="8">
        <f>IF(K24&gt;0,"是","否")</f>
        <v/>
      </c>
      <c r="M24" s="5" t="n">
        <v>0</v>
      </c>
      <c r="N24" s="6">
        <f>IF(AND($C24="资产",$L24="是"),$J24*$K24,0)</f>
        <v/>
      </c>
      <c r="O24" s="6">
        <f>IF(AND($C24="负债",$L24="是"),$J24*$K24,0)</f>
        <v/>
      </c>
      <c r="P24" s="4" t="inlineStr">
        <is>
          <t>外币非生息，NII 模版单列剔除</t>
        </is>
      </c>
    </row>
    <row r="25">
      <c r="A25" s="9" t="inlineStr">
        <is>
          <t>S020101010100</t>
        </is>
      </c>
      <c r="B25" s="9" t="inlineStr">
        <is>
          <t>1.1.1对公活期存款</t>
        </is>
      </c>
      <c r="C25" s="9" t="inlineStr">
        <is>
          <t>负债</t>
        </is>
      </c>
      <c r="D25" s="9" t="inlineStr">
        <is>
          <t>存款类</t>
        </is>
      </c>
      <c r="E25" s="9" t="inlineStr">
        <is>
          <t>对公活期</t>
        </is>
      </c>
      <c r="F25" s="9" t="inlineStr">
        <is>
          <t>活期</t>
        </is>
      </c>
      <c r="G25" s="9" t="inlineStr">
        <is>
          <t>人民币</t>
        </is>
      </c>
      <c r="H25" s="5" t="n">
        <v>23619.02</v>
      </c>
      <c r="I25" s="5" t="n">
        <v>24862.12</v>
      </c>
      <c r="J25" s="10">
        <f>(H25+I25)/2</f>
        <v/>
      </c>
      <c r="K25" s="7" t="n">
        <v>0.0095</v>
      </c>
      <c r="L25" s="11">
        <f>IF(K25&gt;0,"是","否")</f>
        <v/>
      </c>
      <c r="M25" s="5" t="n">
        <v>0.25</v>
      </c>
      <c r="N25" s="10">
        <f>IF(AND($C25="资产",$L25="是"),$J25*$K25,0)</f>
        <v/>
      </c>
      <c r="O25" s="10">
        <f>IF(AND($C25="负债",$L25="是"),$J25*$K25,0)</f>
        <v/>
      </c>
      <c r="P25" s="9" t="inlineStr">
        <is>
          <t>对公活期存款 年化 0.95%，重定价慢</t>
        </is>
      </c>
    </row>
    <row r="26">
      <c r="A26" s="9" t="inlineStr">
        <is>
          <t>S020101010200</t>
        </is>
      </c>
      <c r="B26" s="9" t="inlineStr">
        <is>
          <t>1.1.2对公定期存款</t>
        </is>
      </c>
      <c r="C26" s="9" t="inlineStr">
        <is>
          <t>负债</t>
        </is>
      </c>
      <c r="D26" s="9" t="inlineStr">
        <is>
          <t>存款类</t>
        </is>
      </c>
      <c r="E26" s="9" t="inlineStr">
        <is>
          <t>对公定期</t>
        </is>
      </c>
      <c r="F26" s="9" t="inlineStr">
        <is>
          <t>定期</t>
        </is>
      </c>
      <c r="G26" s="9" t="inlineStr">
        <is>
          <t>人民币</t>
        </is>
      </c>
      <c r="H26" s="5" t="n">
        <v>16496.46</v>
      </c>
      <c r="I26" s="5" t="n">
        <v>17364.7</v>
      </c>
      <c r="J26" s="10">
        <f>(H26+I26)/2</f>
        <v/>
      </c>
      <c r="K26" s="7" t="n">
        <v>0.0358</v>
      </c>
      <c r="L26" s="11">
        <f>IF(K26&gt;0,"是","否")</f>
        <v/>
      </c>
      <c r="M26" s="5" t="n">
        <v>0.6</v>
      </c>
      <c r="N26" s="10">
        <f>IF(AND($C26="资产",$L26="是"),$J26*$K26,0)</f>
        <v/>
      </c>
      <c r="O26" s="10">
        <f>IF(AND($C26="负债",$L26="是"),$J26*$K26,0)</f>
        <v/>
      </c>
      <c r="P26" s="9" t="inlineStr">
        <is>
          <t>对公定期存款 年化 3.58%</t>
        </is>
      </c>
    </row>
    <row r="27">
      <c r="A27" s="9" t="inlineStr">
        <is>
          <t>S020101020100</t>
        </is>
      </c>
      <c r="B27" s="9" t="inlineStr">
        <is>
          <t>1.2.1零售活期存款</t>
        </is>
      </c>
      <c r="C27" s="9" t="inlineStr">
        <is>
          <t>负债</t>
        </is>
      </c>
      <c r="D27" s="9" t="inlineStr">
        <is>
          <t>存款类</t>
        </is>
      </c>
      <c r="E27" s="9" t="inlineStr">
        <is>
          <t>零售活期</t>
        </is>
      </c>
      <c r="F27" s="9" t="inlineStr">
        <is>
          <t>活期</t>
        </is>
      </c>
      <c r="G27" s="9" t="inlineStr">
        <is>
          <t>人民币</t>
        </is>
      </c>
      <c r="H27" s="5" t="n">
        <v>4131.24</v>
      </c>
      <c r="I27" s="5" t="n">
        <v>4348.67</v>
      </c>
      <c r="J27" s="10">
        <f>(H27+I27)/2</f>
        <v/>
      </c>
      <c r="K27" s="7" t="n">
        <v>0.0042</v>
      </c>
      <c r="L27" s="11">
        <f>IF(K27&gt;0,"是","否")</f>
        <v/>
      </c>
      <c r="M27" s="5" t="n">
        <v>0.25</v>
      </c>
      <c r="N27" s="10">
        <f>IF(AND($C27="资产",$L27="是"),$J27*$K27,0)</f>
        <v/>
      </c>
      <c r="O27" s="10">
        <f>IF(AND($C27="负债",$L27="是"),$J27*$K27,0)</f>
        <v/>
      </c>
      <c r="P27" s="9" t="inlineStr">
        <is>
          <t>零售活期存款 年化 0.42%，重定价最慢</t>
        </is>
      </c>
    </row>
    <row r="28">
      <c r="A28" s="9" t="inlineStr">
        <is>
          <t>S020101020200</t>
        </is>
      </c>
      <c r="B28" s="9" t="inlineStr">
        <is>
          <t>1.2.2零售定期存款</t>
        </is>
      </c>
      <c r="C28" s="9" t="inlineStr">
        <is>
          <t>负债</t>
        </is>
      </c>
      <c r="D28" s="9" t="inlineStr">
        <is>
          <t>存款类</t>
        </is>
      </c>
      <c r="E28" s="9" t="inlineStr">
        <is>
          <t>零售定期</t>
        </is>
      </c>
      <c r="F28" s="9" t="inlineStr">
        <is>
          <t>定期</t>
        </is>
      </c>
      <c r="G28" s="9" t="inlineStr">
        <is>
          <t>人民币</t>
        </is>
      </c>
      <c r="H28" s="5" t="n">
        <v>16478.36</v>
      </c>
      <c r="I28" s="5" t="n">
        <v>17345.64</v>
      </c>
      <c r="J28" s="10">
        <f>(H28+I28)/2</f>
        <v/>
      </c>
      <c r="K28" s="7" t="n">
        <v>0.0308</v>
      </c>
      <c r="L28" s="11">
        <f>IF(K28&gt;0,"是","否")</f>
        <v/>
      </c>
      <c r="M28" s="5" t="n">
        <v>0.6</v>
      </c>
      <c r="N28" s="10">
        <f>IF(AND($C28="资产",$L28="是"),$J28*$K28,0)</f>
        <v/>
      </c>
      <c r="O28" s="10">
        <f>IF(AND($C28="负债",$L28="是"),$J28*$K28,0)</f>
        <v/>
      </c>
      <c r="P28" s="9" t="inlineStr">
        <is>
          <t>零售定期存款 年化 3.08%</t>
        </is>
      </c>
    </row>
    <row r="29">
      <c r="A29" s="9" t="inlineStr">
        <is>
          <t>S020102010100</t>
        </is>
      </c>
      <c r="B29" s="9" t="inlineStr">
        <is>
          <t>2.2.1.1同业拆入</t>
        </is>
      </c>
      <c r="C29" s="9" t="inlineStr">
        <is>
          <t>负债</t>
        </is>
      </c>
      <c r="D29" s="9" t="inlineStr">
        <is>
          <t>同业负债</t>
        </is>
      </c>
      <c r="E29" s="9" t="inlineStr">
        <is>
          <t>同业拆入</t>
        </is>
      </c>
      <c r="F29" s="9" t="inlineStr">
        <is>
          <t>同业</t>
        </is>
      </c>
      <c r="G29" s="9" t="inlineStr">
        <is>
          <t>人民币</t>
        </is>
      </c>
      <c r="H29" s="5" t="n">
        <v>303.49</v>
      </c>
      <c r="I29" s="5" t="n">
        <v>329.88</v>
      </c>
      <c r="J29" s="10">
        <f>(H29+I29)/2</f>
        <v/>
      </c>
      <c r="K29" s="7" t="n">
        <v>0.0215</v>
      </c>
      <c r="L29" s="11">
        <f>IF(K29&gt;0,"是","否")</f>
        <v/>
      </c>
      <c r="M29" s="5" t="n">
        <v>0.95</v>
      </c>
      <c r="N29" s="10">
        <f>IF(AND($C29="资产",$L29="是"),$J29*$K29,0)</f>
        <v/>
      </c>
      <c r="O29" s="10">
        <f>IF(AND($C29="负债",$L29="是"),$J29*$K29,0)</f>
        <v/>
      </c>
      <c r="P29" s="9" t="inlineStr">
        <is>
          <t>同业拆入 年化 2.15%，市场化重定价</t>
        </is>
      </c>
    </row>
    <row r="30">
      <c r="A30" s="9" t="inlineStr">
        <is>
          <t>S020102010200</t>
        </is>
      </c>
      <c r="B30" s="9" t="inlineStr">
        <is>
          <t>2.2.1.2同业债券回购</t>
        </is>
      </c>
      <c r="C30" s="9" t="inlineStr">
        <is>
          <t>负债</t>
        </is>
      </c>
      <c r="D30" s="9" t="inlineStr">
        <is>
          <t>同业负债</t>
        </is>
      </c>
      <c r="E30" s="9" t="inlineStr">
        <is>
          <t>同业回购</t>
        </is>
      </c>
      <c r="F30" s="9" t="inlineStr">
        <is>
          <t>同业</t>
        </is>
      </c>
      <c r="G30" s="9" t="inlineStr">
        <is>
          <t>人民币</t>
        </is>
      </c>
      <c r="H30" s="5" t="n">
        <v>882.05</v>
      </c>
      <c r="I30" s="5" t="n">
        <v>958.75</v>
      </c>
      <c r="J30" s="10">
        <f>(H30+I30)/2</f>
        <v/>
      </c>
      <c r="K30" s="7" t="n">
        <v>0.0195</v>
      </c>
      <c r="L30" s="11">
        <f>IF(K30&gt;0,"是","否")</f>
        <v/>
      </c>
      <c r="M30" s="5" t="n">
        <v>0.98</v>
      </c>
      <c r="N30" s="10">
        <f>IF(AND($C30="资产",$L30="是"),$J30*$K30,0)</f>
        <v/>
      </c>
      <c r="O30" s="10">
        <f>IF(AND($C30="负债",$L30="是"),$J30*$K30,0)</f>
        <v/>
      </c>
      <c r="P30" s="9" t="inlineStr">
        <is>
          <t>同业回购 年化 1.95%，隔夜重定价</t>
        </is>
      </c>
    </row>
    <row r="31">
      <c r="A31" s="9" t="inlineStr">
        <is>
          <t>S020102010300</t>
        </is>
      </c>
      <c r="B31" s="9" t="inlineStr">
        <is>
          <t>2.2.1.3同业存单 NCD</t>
        </is>
      </c>
      <c r="C31" s="9" t="inlineStr">
        <is>
          <t>负债</t>
        </is>
      </c>
      <c r="D31" s="9" t="inlineStr">
        <is>
          <t>同业负债</t>
        </is>
      </c>
      <c r="E31" s="9" t="inlineStr">
        <is>
          <t>同业存单</t>
        </is>
      </c>
      <c r="F31" s="9" t="inlineStr">
        <is>
          <t>同业</t>
        </is>
      </c>
      <c r="G31" s="9" t="inlineStr">
        <is>
          <t>人民币</t>
        </is>
      </c>
      <c r="H31" s="5" t="n">
        <v>8390.139999999999</v>
      </c>
      <c r="I31" s="5" t="n">
        <v>9322.379999999999</v>
      </c>
      <c r="J31" s="10">
        <f>(H31+I31)/2</f>
        <v/>
      </c>
      <c r="K31" s="7" t="n">
        <v>0.029</v>
      </c>
      <c r="L31" s="11">
        <f>IF(K31&gt;0,"是","否")</f>
        <v/>
      </c>
      <c r="M31" s="5" t="n">
        <v>0.9</v>
      </c>
      <c r="N31" s="10">
        <f>IF(AND($C31="资产",$L31="是"),$J31*$K31,0)</f>
        <v/>
      </c>
      <c r="O31" s="10">
        <f>IF(AND($C31="负债",$L31="是"),$J31*$K31,0)</f>
        <v/>
      </c>
      <c r="P31" s="9" t="inlineStr">
        <is>
          <t>同业存单 NCD 年化 2.90%</t>
        </is>
      </c>
    </row>
    <row r="32">
      <c r="A32" s="9" t="inlineStr">
        <is>
          <t>S020102010400</t>
        </is>
      </c>
      <c r="B32" s="9" t="inlineStr">
        <is>
          <t>2.2.1.4同业存款</t>
        </is>
      </c>
      <c r="C32" s="9" t="inlineStr">
        <is>
          <t>负债</t>
        </is>
      </c>
      <c r="D32" s="9" t="inlineStr">
        <is>
          <t>同业负债</t>
        </is>
      </c>
      <c r="E32" s="9" t="inlineStr">
        <is>
          <t>同业存款</t>
        </is>
      </c>
      <c r="F32" s="9" t="inlineStr">
        <is>
          <t>同业</t>
        </is>
      </c>
      <c r="G32" s="9" t="inlineStr">
        <is>
          <t>人民币</t>
        </is>
      </c>
      <c r="H32" s="5" t="n">
        <v>8423.57</v>
      </c>
      <c r="I32" s="5" t="n">
        <v>9156.049999999999</v>
      </c>
      <c r="J32" s="10">
        <f>(H32+I32)/2</f>
        <v/>
      </c>
      <c r="K32" s="7" t="n">
        <v>0.029</v>
      </c>
      <c r="L32" s="11">
        <f>IF(K32&gt;0,"是","否")</f>
        <v/>
      </c>
      <c r="M32" s="5" t="n">
        <v>0.92</v>
      </c>
      <c r="N32" s="10">
        <f>IF(AND($C32="资产",$L32="是"),$J32*$K32,0)</f>
        <v/>
      </c>
      <c r="O32" s="10">
        <f>IF(AND($C32="负债",$L32="是"),$J32*$K32,0)</f>
        <v/>
      </c>
      <c r="P32" s="9" t="inlineStr">
        <is>
          <t>同业存款 年化 2.90%</t>
        </is>
      </c>
    </row>
    <row r="33">
      <c r="A33" s="9" t="inlineStr">
        <is>
          <t>S020102010500</t>
        </is>
      </c>
      <c r="B33" s="9" t="inlineStr">
        <is>
          <t>2.2.1.5票据转贴现回购</t>
        </is>
      </c>
      <c r="C33" s="9" t="inlineStr">
        <is>
          <t>负债</t>
        </is>
      </c>
      <c r="D33" s="9" t="inlineStr">
        <is>
          <t>同业负债</t>
        </is>
      </c>
      <c r="E33" s="9" t="inlineStr">
        <is>
          <t>票据转贴现</t>
        </is>
      </c>
      <c r="F33" s="9" t="inlineStr">
        <is>
          <t>同业</t>
        </is>
      </c>
      <c r="G33" s="9" t="inlineStr">
        <is>
          <t>人民币</t>
        </is>
      </c>
      <c r="H33" s="5" t="n">
        <v>9.4</v>
      </c>
      <c r="I33" s="5" t="n">
        <v>10</v>
      </c>
      <c r="J33" s="10">
        <f>(H33+I33)/2</f>
        <v/>
      </c>
      <c r="K33" s="7" t="n">
        <v>0.0245</v>
      </c>
      <c r="L33" s="11">
        <f>IF(K33&gt;0,"是","否")</f>
        <v/>
      </c>
      <c r="M33" s="5" t="n">
        <v>0.98</v>
      </c>
      <c r="N33" s="10">
        <f>IF(AND($C33="资产",$L33="是"),$J33*$K33,0)</f>
        <v/>
      </c>
      <c r="O33" s="10">
        <f>IF(AND($C33="负债",$L33="是"),$J33*$K33,0)</f>
        <v/>
      </c>
      <c r="P33" s="9" t="inlineStr">
        <is>
          <t>票据转贴现回购 年化 2.45%</t>
        </is>
      </c>
    </row>
    <row r="34">
      <c r="A34" s="9" t="inlineStr">
        <is>
          <t>S020102020100</t>
        </is>
      </c>
      <c r="B34" s="9" t="inlineStr">
        <is>
          <t>2.2.2.1公开市场回购</t>
        </is>
      </c>
      <c r="C34" s="9" t="inlineStr">
        <is>
          <t>负债</t>
        </is>
      </c>
      <c r="D34" s="9" t="inlineStr">
        <is>
          <t>央行借款</t>
        </is>
      </c>
      <c r="E34" s="9" t="inlineStr">
        <is>
          <t>OMO 回购</t>
        </is>
      </c>
      <c r="F34" s="9" t="inlineStr">
        <is>
          <t>央行</t>
        </is>
      </c>
      <c r="G34" s="9" t="inlineStr">
        <is>
          <t>人民币</t>
        </is>
      </c>
      <c r="H34" s="5" t="n">
        <v>3326.55</v>
      </c>
      <c r="I34" s="5" t="n">
        <v>3538.88</v>
      </c>
      <c r="J34" s="10">
        <f>(H34+I34)/2</f>
        <v/>
      </c>
      <c r="K34" s="7" t="n">
        <v>0.024</v>
      </c>
      <c r="L34" s="11">
        <f>IF(K34&gt;0,"是","否")</f>
        <v/>
      </c>
      <c r="M34" s="5" t="n">
        <v>0.95</v>
      </c>
      <c r="N34" s="10">
        <f>IF(AND($C34="资产",$L34="是"),$J34*$K34,0)</f>
        <v/>
      </c>
      <c r="O34" s="10">
        <f>IF(AND($C34="负债",$L34="是"),$J34*$K34,0)</f>
        <v/>
      </c>
      <c r="P34" s="9" t="inlineStr">
        <is>
          <t>公开市场操作 年化 2.40%</t>
        </is>
      </c>
    </row>
    <row r="35">
      <c r="A35" s="9" t="inlineStr">
        <is>
          <t>S020102020200</t>
        </is>
      </c>
      <c r="B35" s="9" t="inlineStr">
        <is>
          <t>2.2.2.2中期借贷便利 MLF</t>
        </is>
      </c>
      <c r="C35" s="9" t="inlineStr">
        <is>
          <t>负债</t>
        </is>
      </c>
      <c r="D35" s="9" t="inlineStr">
        <is>
          <t>央行借款</t>
        </is>
      </c>
      <c r="E35" s="9" t="inlineStr">
        <is>
          <t>MLF</t>
        </is>
      </c>
      <c r="F35" s="9" t="inlineStr">
        <is>
          <t>央行</t>
        </is>
      </c>
      <c r="G35" s="9" t="inlineStr">
        <is>
          <t>人民币</t>
        </is>
      </c>
      <c r="H35" s="5" t="n">
        <v>1539.55</v>
      </c>
      <c r="I35" s="5" t="n">
        <v>1603.7</v>
      </c>
      <c r="J35" s="10">
        <f>(H35+I35)/2</f>
        <v/>
      </c>
      <c r="K35" s="7" t="n">
        <v>0.029</v>
      </c>
      <c r="L35" s="11">
        <f>IF(K35&gt;0,"是","否")</f>
        <v/>
      </c>
      <c r="M35" s="5" t="n">
        <v>0.8</v>
      </c>
      <c r="N35" s="10">
        <f>IF(AND($C35="资产",$L35="是"),$J35*$K35,0)</f>
        <v/>
      </c>
      <c r="O35" s="10">
        <f>IF(AND($C35="负债",$L35="是"),$J35*$K35,0)</f>
        <v/>
      </c>
      <c r="P35" s="9" t="inlineStr">
        <is>
          <t>MLF 年化 2.90%，政策工具重定价慢</t>
        </is>
      </c>
    </row>
    <row r="36">
      <c r="A36" s="9" t="inlineStr">
        <is>
          <t>S020102020300</t>
        </is>
      </c>
      <c r="B36" s="9" t="inlineStr">
        <is>
          <t>2.2.2.3结构性货币政策工具</t>
        </is>
      </c>
      <c r="C36" s="9" t="inlineStr">
        <is>
          <t>负债</t>
        </is>
      </c>
      <c r="D36" s="9" t="inlineStr">
        <is>
          <t>央行借款</t>
        </is>
      </c>
      <c r="E36" s="9" t="inlineStr">
        <is>
          <t>结构性工具</t>
        </is>
      </c>
      <c r="F36" s="9" t="inlineStr">
        <is>
          <t>央行</t>
        </is>
      </c>
      <c r="G36" s="9" t="inlineStr">
        <is>
          <t>人民币</t>
        </is>
      </c>
      <c r="H36" s="5" t="n">
        <v>401.01</v>
      </c>
      <c r="I36" s="5" t="n">
        <v>422.12</v>
      </c>
      <c r="J36" s="10">
        <f>(H36+I36)/2</f>
        <v/>
      </c>
      <c r="K36" s="7" t="n">
        <v>0.0145</v>
      </c>
      <c r="L36" s="11">
        <f>IF(K36&gt;0,"是","否")</f>
        <v/>
      </c>
      <c r="M36" s="5" t="n">
        <v>0.8</v>
      </c>
      <c r="N36" s="10">
        <f>IF(AND($C36="资产",$L36="是"),$J36*$K36,0)</f>
        <v/>
      </c>
      <c r="O36" s="10">
        <f>IF(AND($C36="负债",$L36="是"),$J36*$K36,0)</f>
        <v/>
      </c>
      <c r="P36" s="9" t="inlineStr">
        <is>
          <t>结构性货币政策工具 年化 1.45%</t>
        </is>
      </c>
    </row>
    <row r="37">
      <c r="A37" s="9" t="inlineStr">
        <is>
          <t>S020102020400</t>
        </is>
      </c>
      <c r="B37" s="9" t="inlineStr">
        <is>
          <t>2.2.2.4票据再贴现回购</t>
        </is>
      </c>
      <c r="C37" s="9" t="inlineStr">
        <is>
          <t>负债</t>
        </is>
      </c>
      <c r="D37" s="9" t="inlineStr">
        <is>
          <t>央行借款</t>
        </is>
      </c>
      <c r="E37" s="9" t="inlineStr">
        <is>
          <t>再贴现</t>
        </is>
      </c>
      <c r="F37" s="9" t="inlineStr">
        <is>
          <t>央行</t>
        </is>
      </c>
      <c r="G37" s="9" t="inlineStr">
        <is>
          <t>人民币</t>
        </is>
      </c>
      <c r="H37" s="5" t="n">
        <v>14.79</v>
      </c>
      <c r="I37" s="5" t="n">
        <v>15.25</v>
      </c>
      <c r="J37" s="10">
        <f>(H37+I37)/2</f>
        <v/>
      </c>
      <c r="K37" s="7" t="n">
        <v>0.0195</v>
      </c>
      <c r="L37" s="11">
        <f>IF(K37&gt;0,"是","否")</f>
        <v/>
      </c>
      <c r="M37" s="5" t="n">
        <v>0.9</v>
      </c>
      <c r="N37" s="10">
        <f>IF(AND($C37="资产",$L37="是"),$J37*$K37,0)</f>
        <v/>
      </c>
      <c r="O37" s="10">
        <f>IF(AND($C37="负债",$L37="是"),$J37*$K37,0)</f>
        <v/>
      </c>
      <c r="P37" s="9" t="inlineStr">
        <is>
          <t>票据再贴现回购 年化 1.95%</t>
        </is>
      </c>
    </row>
    <row r="38">
      <c r="A38" s="9" t="inlineStr">
        <is>
          <t>S020201000000</t>
        </is>
      </c>
      <c r="B38" s="9" t="inlineStr">
        <is>
          <t>1.外币存款</t>
        </is>
      </c>
      <c r="C38" s="9" t="inlineStr">
        <is>
          <t>负债</t>
        </is>
      </c>
      <c r="D38" s="9" t="inlineStr">
        <is>
          <t>外币负债</t>
        </is>
      </c>
      <c r="E38" s="9" t="inlineStr">
        <is>
          <t>外币存款</t>
        </is>
      </c>
      <c r="F38" s="9" t="inlineStr">
        <is>
          <t>外币</t>
        </is>
      </c>
      <c r="G38" s="9" t="inlineStr">
        <is>
          <t>外币</t>
        </is>
      </c>
      <c r="H38" s="5" t="n">
        <v>1425</v>
      </c>
      <c r="I38" s="5" t="n">
        <v>1500</v>
      </c>
      <c r="J38" s="10">
        <f>(H38+I38)/2</f>
        <v/>
      </c>
      <c r="K38" s="7" t="n">
        <v>0.029</v>
      </c>
      <c r="L38" s="11">
        <f>IF(K38&gt;0,"是","否")</f>
        <v/>
      </c>
      <c r="M38" s="5" t="n">
        <v>0.75</v>
      </c>
      <c r="N38" s="10">
        <f>IF(AND($C38="资产",$L38="是"),$J38*$K38,0)</f>
        <v/>
      </c>
      <c r="O38" s="10">
        <f>IF(AND($C38="负债",$L38="是"),$J38*$K38,0)</f>
        <v/>
      </c>
      <c r="P38" s="9" t="inlineStr">
        <is>
          <t>外币存款（折人民币）年化 2.90%</t>
        </is>
      </c>
    </row>
    <row r="39">
      <c r="A39" s="9" t="inlineStr">
        <is>
          <t>S020202000000</t>
        </is>
      </c>
      <c r="B39" s="9" t="inlineStr">
        <is>
          <t>2.外币市场化负债</t>
        </is>
      </c>
      <c r="C39" s="9" t="inlineStr">
        <is>
          <t>负债</t>
        </is>
      </c>
      <c r="D39" s="9" t="inlineStr">
        <is>
          <t>外币负债</t>
        </is>
      </c>
      <c r="E39" s="9" t="inlineStr">
        <is>
          <t>外币市场化</t>
        </is>
      </c>
      <c r="F39" s="9" t="inlineStr">
        <is>
          <t>外币</t>
        </is>
      </c>
      <c r="G39" s="9" t="inlineStr">
        <is>
          <t>外币</t>
        </is>
      </c>
      <c r="H39" s="5" t="n">
        <v>752</v>
      </c>
      <c r="I39" s="5" t="n">
        <v>800</v>
      </c>
      <c r="J39" s="10">
        <f>(H39+I39)/2</f>
        <v/>
      </c>
      <c r="K39" s="7" t="n">
        <v>0.029</v>
      </c>
      <c r="L39" s="11">
        <f>IF(K39&gt;0,"是","否")</f>
        <v/>
      </c>
      <c r="M39" s="5" t="n">
        <v>0.95</v>
      </c>
      <c r="N39" s="10">
        <f>IF(AND($C39="资产",$L39="是"),$J39*$K39,0)</f>
        <v/>
      </c>
      <c r="O39" s="10">
        <f>IF(AND($C39="负债",$L39="是"),$J39*$K39,0)</f>
        <v/>
      </c>
      <c r="P39" s="9" t="inlineStr">
        <is>
          <t>外币市场化负债 年化 2.90%</t>
        </is>
      </c>
    </row>
    <row r="40">
      <c r="A40" s="12" t="n"/>
      <c r="B40" s="13" t="inlineStr">
        <is>
          <t>合计 / 加权平均</t>
        </is>
      </c>
      <c r="C40" s="12" t="n"/>
      <c r="D40" s="12" t="n"/>
      <c r="E40" s="12" t="n"/>
      <c r="F40" s="12" t="n"/>
      <c r="G40" s="12" t="n"/>
      <c r="H40" s="14">
        <f>SUM(H4:H39)</f>
        <v/>
      </c>
      <c r="I40" s="14">
        <f>SUM(I4:I39)</f>
        <v/>
      </c>
      <c r="J40" s="14">
        <f>SUM(J4:J39)</f>
        <v/>
      </c>
      <c r="K40" s="15">
        <f>IF(J40=0,0,(SUMPRODUCT($J$4:$J$39,$K$4:$K$39))/J40)</f>
        <v/>
      </c>
      <c r="L40" s="12" t="n"/>
      <c r="M40" s="12" t="n"/>
      <c r="N40" s="14">
        <f>SUM(N4:N39)</f>
        <v/>
      </c>
      <c r="O40" s="14">
        <f>SUM(O4:O39)</f>
        <v/>
      </c>
      <c r="P40" s="16" t="inlineStr">
        <is>
          <t>净利息收入 NII = N40 - O40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11" customWidth="1" min="4" max="4"/>
    <col width="10" customWidth="1" min="5" max="5"/>
    <col width="15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30" customWidth="1" min="12" max="12"/>
  </cols>
  <sheetData>
    <row r="1">
      <c r="A1" s="1" t="inlineStr">
        <is>
          <t>利息收入明细表 (Interest Income Detail) — 逐资产账户拆解</t>
        </is>
      </c>
    </row>
    <row r="2">
      <c r="A2" s="2" t="inlineStr">
        <is>
          <t>利息收入 = 平均余额 × 年化利率（仅计入有效计息资产，利率 &gt; 0）  |  全部引用「NII数据源」sheet，不含硬编码  |  单位：亿元</t>
        </is>
      </c>
    </row>
    <row r="4" ht="34" customHeight="1">
      <c r="A4" s="3" t="inlineStr">
        <is>
          <t>账户编码</t>
        </is>
      </c>
      <c r="B4" s="3" t="inlineStr">
        <is>
          <t>账户名称</t>
        </is>
      </c>
      <c r="C4" s="3" t="inlineStr">
        <is>
          <t>业务条线</t>
        </is>
      </c>
      <c r="D4" s="3" t="inlineStr">
        <is>
          <t>子类</t>
        </is>
      </c>
      <c r="E4" s="3" t="inlineStr">
        <is>
          <t>账户类型</t>
        </is>
      </c>
      <c r="F4" s="3" t="inlineStr">
        <is>
          <t>币种</t>
        </is>
      </c>
      <c r="G4" s="3" t="inlineStr">
        <is>
          <t>期初余额
(亿元)</t>
        </is>
      </c>
      <c r="H4" s="3" t="inlineStr">
        <is>
          <t>期末余额
(亿元)</t>
        </is>
      </c>
      <c r="I4" s="3" t="inlineStr">
        <is>
          <t>平均余额
(亿元)</t>
        </is>
      </c>
      <c r="J4" s="3" t="inlineStr">
        <is>
          <t>年化利率</t>
        </is>
      </c>
      <c r="K4" s="3" t="inlineStr">
        <is>
          <t>利息收入
(亿元)</t>
        </is>
      </c>
      <c r="L4" s="3" t="inlineStr">
        <is>
          <t>利息收入
占比</t>
        </is>
      </c>
      <c r="M4" s="3" t="inlineStr">
        <is>
          <t>说明</t>
        </is>
      </c>
    </row>
    <row r="5">
      <c r="A5" s="4">
        <f>'NII数据源'!A4</f>
        <v/>
      </c>
      <c r="B5" s="4">
        <f>'NII数据源'!B4</f>
        <v/>
      </c>
      <c r="C5" s="4">
        <f>'NII数据源'!D4</f>
        <v/>
      </c>
      <c r="D5" s="4">
        <f>'NII数据源'!E4</f>
        <v/>
      </c>
      <c r="E5" s="4">
        <f>'NII数据源'!F4</f>
        <v/>
      </c>
      <c r="F5" s="4">
        <f>'NII数据源'!G4</f>
        <v/>
      </c>
      <c r="G5" s="6">
        <f>'NII数据源'!H4</f>
        <v/>
      </c>
      <c r="H5" s="6">
        <f>'NII数据源'!I4</f>
        <v/>
      </c>
      <c r="I5" s="6">
        <f>'NII数据源'!J4</f>
        <v/>
      </c>
      <c r="J5" s="17">
        <f>'NII数据源'!K4</f>
        <v/>
      </c>
      <c r="K5" s="6">
        <f>'NII数据源'!N4</f>
        <v/>
      </c>
      <c r="L5" s="17">
        <f>IF($K$26=0,0,K5/$K$26)</f>
        <v/>
      </c>
      <c r="M5" s="4">
        <f>'NII数据源'!P4</f>
        <v/>
      </c>
    </row>
    <row r="6">
      <c r="A6" s="4">
        <f>'NII数据源'!A5</f>
        <v/>
      </c>
      <c r="B6" s="4">
        <f>'NII数据源'!B5</f>
        <v/>
      </c>
      <c r="C6" s="4">
        <f>'NII数据源'!D5</f>
        <v/>
      </c>
      <c r="D6" s="4">
        <f>'NII数据源'!E5</f>
        <v/>
      </c>
      <c r="E6" s="4">
        <f>'NII数据源'!F5</f>
        <v/>
      </c>
      <c r="F6" s="4">
        <f>'NII数据源'!G5</f>
        <v/>
      </c>
      <c r="G6" s="6">
        <f>'NII数据源'!H5</f>
        <v/>
      </c>
      <c r="H6" s="6">
        <f>'NII数据源'!I5</f>
        <v/>
      </c>
      <c r="I6" s="6">
        <f>'NII数据源'!J5</f>
        <v/>
      </c>
      <c r="J6" s="17">
        <f>'NII数据源'!K5</f>
        <v/>
      </c>
      <c r="K6" s="6">
        <f>'NII数据源'!N5</f>
        <v/>
      </c>
      <c r="L6" s="17">
        <f>IF($K$26=0,0,K6/$K$26)</f>
        <v/>
      </c>
      <c r="M6" s="4">
        <f>'NII数据源'!P5</f>
        <v/>
      </c>
    </row>
    <row r="7">
      <c r="A7" s="4">
        <f>'NII数据源'!A6</f>
        <v/>
      </c>
      <c r="B7" s="4">
        <f>'NII数据源'!B6</f>
        <v/>
      </c>
      <c r="C7" s="4">
        <f>'NII数据源'!D6</f>
        <v/>
      </c>
      <c r="D7" s="4">
        <f>'NII数据源'!E6</f>
        <v/>
      </c>
      <c r="E7" s="4">
        <f>'NII数据源'!F6</f>
        <v/>
      </c>
      <c r="F7" s="4">
        <f>'NII数据源'!G6</f>
        <v/>
      </c>
      <c r="G7" s="6">
        <f>'NII数据源'!H6</f>
        <v/>
      </c>
      <c r="H7" s="6">
        <f>'NII数据源'!I6</f>
        <v/>
      </c>
      <c r="I7" s="6">
        <f>'NII数据源'!J6</f>
        <v/>
      </c>
      <c r="J7" s="17">
        <f>'NII数据源'!K6</f>
        <v/>
      </c>
      <c r="K7" s="6">
        <f>'NII数据源'!N6</f>
        <v/>
      </c>
      <c r="L7" s="17">
        <f>IF($K$26=0,0,K7/$K$26)</f>
        <v/>
      </c>
      <c r="M7" s="4">
        <f>'NII数据源'!P6</f>
        <v/>
      </c>
    </row>
    <row r="8">
      <c r="A8" s="4">
        <f>'NII数据源'!A7</f>
        <v/>
      </c>
      <c r="B8" s="4">
        <f>'NII数据源'!B7</f>
        <v/>
      </c>
      <c r="C8" s="4">
        <f>'NII数据源'!D7</f>
        <v/>
      </c>
      <c r="D8" s="4">
        <f>'NII数据源'!E7</f>
        <v/>
      </c>
      <c r="E8" s="4">
        <f>'NII数据源'!F7</f>
        <v/>
      </c>
      <c r="F8" s="4">
        <f>'NII数据源'!G7</f>
        <v/>
      </c>
      <c r="G8" s="6">
        <f>'NII数据源'!H7</f>
        <v/>
      </c>
      <c r="H8" s="6">
        <f>'NII数据源'!I7</f>
        <v/>
      </c>
      <c r="I8" s="6">
        <f>'NII数据源'!J7</f>
        <v/>
      </c>
      <c r="J8" s="17">
        <f>'NII数据源'!K7</f>
        <v/>
      </c>
      <c r="K8" s="6">
        <f>'NII数据源'!N7</f>
        <v/>
      </c>
      <c r="L8" s="17">
        <f>IF($K$26=0,0,K8/$K$26)</f>
        <v/>
      </c>
      <c r="M8" s="4">
        <f>'NII数据源'!P7</f>
        <v/>
      </c>
    </row>
    <row r="9">
      <c r="A9" s="4">
        <f>'NII数据源'!A8</f>
        <v/>
      </c>
      <c r="B9" s="4">
        <f>'NII数据源'!B8</f>
        <v/>
      </c>
      <c r="C9" s="4">
        <f>'NII数据源'!D8</f>
        <v/>
      </c>
      <c r="D9" s="4">
        <f>'NII数据源'!E8</f>
        <v/>
      </c>
      <c r="E9" s="4">
        <f>'NII数据源'!F8</f>
        <v/>
      </c>
      <c r="F9" s="4">
        <f>'NII数据源'!G8</f>
        <v/>
      </c>
      <c r="G9" s="6">
        <f>'NII数据源'!H8</f>
        <v/>
      </c>
      <c r="H9" s="6">
        <f>'NII数据源'!I8</f>
        <v/>
      </c>
      <c r="I9" s="6">
        <f>'NII数据源'!J8</f>
        <v/>
      </c>
      <c r="J9" s="17">
        <f>'NII数据源'!K8</f>
        <v/>
      </c>
      <c r="K9" s="6">
        <f>'NII数据源'!N8</f>
        <v/>
      </c>
      <c r="L9" s="17">
        <f>IF($K$26=0,0,K9/$K$26)</f>
        <v/>
      </c>
      <c r="M9" s="4">
        <f>'NII数据源'!P8</f>
        <v/>
      </c>
    </row>
    <row r="10">
      <c r="A10" s="4">
        <f>'NII数据源'!A9</f>
        <v/>
      </c>
      <c r="B10" s="4">
        <f>'NII数据源'!B9</f>
        <v/>
      </c>
      <c r="C10" s="4">
        <f>'NII数据源'!D9</f>
        <v/>
      </c>
      <c r="D10" s="4">
        <f>'NII数据源'!E9</f>
        <v/>
      </c>
      <c r="E10" s="4">
        <f>'NII数据源'!F9</f>
        <v/>
      </c>
      <c r="F10" s="4">
        <f>'NII数据源'!G9</f>
        <v/>
      </c>
      <c r="G10" s="6">
        <f>'NII数据源'!H9</f>
        <v/>
      </c>
      <c r="H10" s="6">
        <f>'NII数据源'!I9</f>
        <v/>
      </c>
      <c r="I10" s="6">
        <f>'NII数据源'!J9</f>
        <v/>
      </c>
      <c r="J10" s="17">
        <f>'NII数据源'!K9</f>
        <v/>
      </c>
      <c r="K10" s="6">
        <f>'NII数据源'!N9</f>
        <v/>
      </c>
      <c r="L10" s="17">
        <f>IF($K$26=0,0,K10/$K$26)</f>
        <v/>
      </c>
      <c r="M10" s="4">
        <f>'NII数据源'!P9</f>
        <v/>
      </c>
    </row>
    <row r="11">
      <c r="A11" s="4">
        <f>'NII数据源'!A10</f>
        <v/>
      </c>
      <c r="B11" s="4">
        <f>'NII数据源'!B10</f>
        <v/>
      </c>
      <c r="C11" s="4">
        <f>'NII数据源'!D10</f>
        <v/>
      </c>
      <c r="D11" s="4">
        <f>'NII数据源'!E10</f>
        <v/>
      </c>
      <c r="E11" s="4">
        <f>'NII数据源'!F10</f>
        <v/>
      </c>
      <c r="F11" s="4">
        <f>'NII数据源'!G10</f>
        <v/>
      </c>
      <c r="G11" s="6">
        <f>'NII数据源'!H10</f>
        <v/>
      </c>
      <c r="H11" s="6">
        <f>'NII数据源'!I10</f>
        <v/>
      </c>
      <c r="I11" s="6">
        <f>'NII数据源'!J10</f>
        <v/>
      </c>
      <c r="J11" s="17">
        <f>'NII数据源'!K10</f>
        <v/>
      </c>
      <c r="K11" s="6">
        <f>'NII数据源'!N10</f>
        <v/>
      </c>
      <c r="L11" s="17">
        <f>IF($K$26=0,0,K11/$K$26)</f>
        <v/>
      </c>
      <c r="M11" s="4">
        <f>'NII数据源'!P10</f>
        <v/>
      </c>
    </row>
    <row r="12">
      <c r="A12" s="4">
        <f>'NII数据源'!A11</f>
        <v/>
      </c>
      <c r="B12" s="4">
        <f>'NII数据源'!B11</f>
        <v/>
      </c>
      <c r="C12" s="4">
        <f>'NII数据源'!D11</f>
        <v/>
      </c>
      <c r="D12" s="4">
        <f>'NII数据源'!E11</f>
        <v/>
      </c>
      <c r="E12" s="4">
        <f>'NII数据源'!F11</f>
        <v/>
      </c>
      <c r="F12" s="4">
        <f>'NII数据源'!G11</f>
        <v/>
      </c>
      <c r="G12" s="6">
        <f>'NII数据源'!H11</f>
        <v/>
      </c>
      <c r="H12" s="6">
        <f>'NII数据源'!I11</f>
        <v/>
      </c>
      <c r="I12" s="6">
        <f>'NII数据源'!J11</f>
        <v/>
      </c>
      <c r="J12" s="17">
        <f>'NII数据源'!K11</f>
        <v/>
      </c>
      <c r="K12" s="6">
        <f>'NII数据源'!N11</f>
        <v/>
      </c>
      <c r="L12" s="17">
        <f>IF($K$26=0,0,K12/$K$26)</f>
        <v/>
      </c>
      <c r="M12" s="4">
        <f>'NII数据源'!P11</f>
        <v/>
      </c>
    </row>
    <row r="13">
      <c r="A13" s="4">
        <f>'NII数据源'!A12</f>
        <v/>
      </c>
      <c r="B13" s="4">
        <f>'NII数据源'!B12</f>
        <v/>
      </c>
      <c r="C13" s="4">
        <f>'NII数据源'!D12</f>
        <v/>
      </c>
      <c r="D13" s="4">
        <f>'NII数据源'!E12</f>
        <v/>
      </c>
      <c r="E13" s="4">
        <f>'NII数据源'!F12</f>
        <v/>
      </c>
      <c r="F13" s="4">
        <f>'NII数据源'!G12</f>
        <v/>
      </c>
      <c r="G13" s="6">
        <f>'NII数据源'!H12</f>
        <v/>
      </c>
      <c r="H13" s="6">
        <f>'NII数据源'!I12</f>
        <v/>
      </c>
      <c r="I13" s="6">
        <f>'NII数据源'!J12</f>
        <v/>
      </c>
      <c r="J13" s="17">
        <f>'NII数据源'!K12</f>
        <v/>
      </c>
      <c r="K13" s="6">
        <f>'NII数据源'!N12</f>
        <v/>
      </c>
      <c r="L13" s="17">
        <f>IF($K$26=0,0,K13/$K$26)</f>
        <v/>
      </c>
      <c r="M13" s="4">
        <f>'NII数据源'!P12</f>
        <v/>
      </c>
    </row>
    <row r="14">
      <c r="A14" s="4">
        <f>'NII数据源'!A13</f>
        <v/>
      </c>
      <c r="B14" s="4">
        <f>'NII数据源'!B13</f>
        <v/>
      </c>
      <c r="C14" s="4">
        <f>'NII数据源'!D13</f>
        <v/>
      </c>
      <c r="D14" s="4">
        <f>'NII数据源'!E13</f>
        <v/>
      </c>
      <c r="E14" s="4">
        <f>'NII数据源'!F13</f>
        <v/>
      </c>
      <c r="F14" s="4">
        <f>'NII数据源'!G13</f>
        <v/>
      </c>
      <c r="G14" s="6">
        <f>'NII数据源'!H13</f>
        <v/>
      </c>
      <c r="H14" s="6">
        <f>'NII数据源'!I13</f>
        <v/>
      </c>
      <c r="I14" s="6">
        <f>'NII数据源'!J13</f>
        <v/>
      </c>
      <c r="J14" s="17">
        <f>'NII数据源'!K13</f>
        <v/>
      </c>
      <c r="K14" s="6">
        <f>'NII数据源'!N13</f>
        <v/>
      </c>
      <c r="L14" s="17">
        <f>IF($K$26=0,0,K14/$K$26)</f>
        <v/>
      </c>
      <c r="M14" s="4">
        <f>'NII数据源'!P13</f>
        <v/>
      </c>
    </row>
    <row r="15">
      <c r="A15" s="4">
        <f>'NII数据源'!A14</f>
        <v/>
      </c>
      <c r="B15" s="4">
        <f>'NII数据源'!B14</f>
        <v/>
      </c>
      <c r="C15" s="4">
        <f>'NII数据源'!D14</f>
        <v/>
      </c>
      <c r="D15" s="4">
        <f>'NII数据源'!E14</f>
        <v/>
      </c>
      <c r="E15" s="4">
        <f>'NII数据源'!F14</f>
        <v/>
      </c>
      <c r="F15" s="4">
        <f>'NII数据源'!G14</f>
        <v/>
      </c>
      <c r="G15" s="6">
        <f>'NII数据源'!H14</f>
        <v/>
      </c>
      <c r="H15" s="6">
        <f>'NII数据源'!I14</f>
        <v/>
      </c>
      <c r="I15" s="6">
        <f>'NII数据源'!J14</f>
        <v/>
      </c>
      <c r="J15" s="17">
        <f>'NII数据源'!K14</f>
        <v/>
      </c>
      <c r="K15" s="6">
        <f>'NII数据源'!N14</f>
        <v/>
      </c>
      <c r="L15" s="17">
        <f>IF($K$26=0,0,K15/$K$26)</f>
        <v/>
      </c>
      <c r="M15" s="4">
        <f>'NII数据源'!P14</f>
        <v/>
      </c>
    </row>
    <row r="16">
      <c r="A16" s="4">
        <f>'NII数据源'!A15</f>
        <v/>
      </c>
      <c r="B16" s="4">
        <f>'NII数据源'!B15</f>
        <v/>
      </c>
      <c r="C16" s="4">
        <f>'NII数据源'!D15</f>
        <v/>
      </c>
      <c r="D16" s="4">
        <f>'NII数据源'!E15</f>
        <v/>
      </c>
      <c r="E16" s="4">
        <f>'NII数据源'!F15</f>
        <v/>
      </c>
      <c r="F16" s="4">
        <f>'NII数据源'!G15</f>
        <v/>
      </c>
      <c r="G16" s="6">
        <f>'NII数据源'!H15</f>
        <v/>
      </c>
      <c r="H16" s="6">
        <f>'NII数据源'!I15</f>
        <v/>
      </c>
      <c r="I16" s="6">
        <f>'NII数据源'!J15</f>
        <v/>
      </c>
      <c r="J16" s="17">
        <f>'NII数据源'!K15</f>
        <v/>
      </c>
      <c r="K16" s="6">
        <f>'NII数据源'!N15</f>
        <v/>
      </c>
      <c r="L16" s="17">
        <f>IF($K$26=0,0,K16/$K$26)</f>
        <v/>
      </c>
      <c r="M16" s="4">
        <f>'NII数据源'!P15</f>
        <v/>
      </c>
    </row>
    <row r="17">
      <c r="A17" s="4">
        <f>'NII数据源'!A16</f>
        <v/>
      </c>
      <c r="B17" s="4">
        <f>'NII数据源'!B16</f>
        <v/>
      </c>
      <c r="C17" s="4">
        <f>'NII数据源'!D16</f>
        <v/>
      </c>
      <c r="D17" s="4">
        <f>'NII数据源'!E16</f>
        <v/>
      </c>
      <c r="E17" s="4">
        <f>'NII数据源'!F16</f>
        <v/>
      </c>
      <c r="F17" s="4">
        <f>'NII数据源'!G16</f>
        <v/>
      </c>
      <c r="G17" s="6">
        <f>'NII数据源'!H16</f>
        <v/>
      </c>
      <c r="H17" s="6">
        <f>'NII数据源'!I16</f>
        <v/>
      </c>
      <c r="I17" s="6">
        <f>'NII数据源'!J16</f>
        <v/>
      </c>
      <c r="J17" s="17">
        <f>'NII数据源'!K16</f>
        <v/>
      </c>
      <c r="K17" s="6">
        <f>'NII数据源'!N16</f>
        <v/>
      </c>
      <c r="L17" s="17">
        <f>IF($K$26=0,0,K17/$K$26)</f>
        <v/>
      </c>
      <c r="M17" s="4">
        <f>'NII数据源'!P16</f>
        <v/>
      </c>
    </row>
    <row r="18">
      <c r="A18" s="4">
        <f>'NII数据源'!A17</f>
        <v/>
      </c>
      <c r="B18" s="4">
        <f>'NII数据源'!B17</f>
        <v/>
      </c>
      <c r="C18" s="4">
        <f>'NII数据源'!D17</f>
        <v/>
      </c>
      <c r="D18" s="4">
        <f>'NII数据源'!E17</f>
        <v/>
      </c>
      <c r="E18" s="4">
        <f>'NII数据源'!F17</f>
        <v/>
      </c>
      <c r="F18" s="4">
        <f>'NII数据源'!G17</f>
        <v/>
      </c>
      <c r="G18" s="6">
        <f>'NII数据源'!H17</f>
        <v/>
      </c>
      <c r="H18" s="6">
        <f>'NII数据源'!I17</f>
        <v/>
      </c>
      <c r="I18" s="6">
        <f>'NII数据源'!J17</f>
        <v/>
      </c>
      <c r="J18" s="17">
        <f>'NII数据源'!K17</f>
        <v/>
      </c>
      <c r="K18" s="6">
        <f>'NII数据源'!N17</f>
        <v/>
      </c>
      <c r="L18" s="17">
        <f>IF($K$26=0,0,K18/$K$26)</f>
        <v/>
      </c>
      <c r="M18" s="4">
        <f>'NII数据源'!P17</f>
        <v/>
      </c>
    </row>
    <row r="19">
      <c r="A19" s="4">
        <f>'NII数据源'!A18</f>
        <v/>
      </c>
      <c r="B19" s="4">
        <f>'NII数据源'!B18</f>
        <v/>
      </c>
      <c r="C19" s="4">
        <f>'NII数据源'!D18</f>
        <v/>
      </c>
      <c r="D19" s="4">
        <f>'NII数据源'!E18</f>
        <v/>
      </c>
      <c r="E19" s="4">
        <f>'NII数据源'!F18</f>
        <v/>
      </c>
      <c r="F19" s="4">
        <f>'NII数据源'!G18</f>
        <v/>
      </c>
      <c r="G19" s="6">
        <f>'NII数据源'!H18</f>
        <v/>
      </c>
      <c r="H19" s="6">
        <f>'NII数据源'!I18</f>
        <v/>
      </c>
      <c r="I19" s="6">
        <f>'NII数据源'!J18</f>
        <v/>
      </c>
      <c r="J19" s="17">
        <f>'NII数据源'!K18</f>
        <v/>
      </c>
      <c r="K19" s="6">
        <f>'NII数据源'!N18</f>
        <v/>
      </c>
      <c r="L19" s="17">
        <f>IF($K$26=0,0,K19/$K$26)</f>
        <v/>
      </c>
      <c r="M19" s="4">
        <f>'NII数据源'!P18</f>
        <v/>
      </c>
    </row>
    <row r="20">
      <c r="A20" s="4">
        <f>'NII数据源'!A19</f>
        <v/>
      </c>
      <c r="B20" s="4">
        <f>'NII数据源'!B19</f>
        <v/>
      </c>
      <c r="C20" s="4">
        <f>'NII数据源'!D19</f>
        <v/>
      </c>
      <c r="D20" s="4">
        <f>'NII数据源'!E19</f>
        <v/>
      </c>
      <c r="E20" s="4">
        <f>'NII数据源'!F19</f>
        <v/>
      </c>
      <c r="F20" s="4">
        <f>'NII数据源'!G19</f>
        <v/>
      </c>
      <c r="G20" s="6">
        <f>'NII数据源'!H19</f>
        <v/>
      </c>
      <c r="H20" s="6">
        <f>'NII数据源'!I19</f>
        <v/>
      </c>
      <c r="I20" s="6">
        <f>'NII数据源'!J19</f>
        <v/>
      </c>
      <c r="J20" s="17">
        <f>'NII数据源'!K19</f>
        <v/>
      </c>
      <c r="K20" s="6">
        <f>'NII数据源'!N19</f>
        <v/>
      </c>
      <c r="L20" s="17">
        <f>IF($K$26=0,0,K20/$K$26)</f>
        <v/>
      </c>
      <c r="M20" s="4">
        <f>'NII数据源'!P19</f>
        <v/>
      </c>
    </row>
    <row r="21">
      <c r="A21" s="4">
        <f>'NII数据源'!A20</f>
        <v/>
      </c>
      <c r="B21" s="4">
        <f>'NII数据源'!B20</f>
        <v/>
      </c>
      <c r="C21" s="4">
        <f>'NII数据源'!D20</f>
        <v/>
      </c>
      <c r="D21" s="4">
        <f>'NII数据源'!E20</f>
        <v/>
      </c>
      <c r="E21" s="4">
        <f>'NII数据源'!F20</f>
        <v/>
      </c>
      <c r="F21" s="4">
        <f>'NII数据源'!G20</f>
        <v/>
      </c>
      <c r="G21" s="6">
        <f>'NII数据源'!H20</f>
        <v/>
      </c>
      <c r="H21" s="6">
        <f>'NII数据源'!I20</f>
        <v/>
      </c>
      <c r="I21" s="6">
        <f>'NII数据源'!J20</f>
        <v/>
      </c>
      <c r="J21" s="17">
        <f>'NII数据源'!K20</f>
        <v/>
      </c>
      <c r="K21" s="6">
        <f>'NII数据源'!N20</f>
        <v/>
      </c>
      <c r="L21" s="17">
        <f>IF($K$26=0,0,K21/$K$26)</f>
        <v/>
      </c>
      <c r="M21" s="4">
        <f>'NII数据源'!P20</f>
        <v/>
      </c>
    </row>
    <row r="22">
      <c r="A22" s="4">
        <f>'NII数据源'!A21</f>
        <v/>
      </c>
      <c r="B22" s="4">
        <f>'NII数据源'!B21</f>
        <v/>
      </c>
      <c r="C22" s="4">
        <f>'NII数据源'!D21</f>
        <v/>
      </c>
      <c r="D22" s="4">
        <f>'NII数据源'!E21</f>
        <v/>
      </c>
      <c r="E22" s="4">
        <f>'NII数据源'!F21</f>
        <v/>
      </c>
      <c r="F22" s="4">
        <f>'NII数据源'!G21</f>
        <v/>
      </c>
      <c r="G22" s="6">
        <f>'NII数据源'!H21</f>
        <v/>
      </c>
      <c r="H22" s="6">
        <f>'NII数据源'!I21</f>
        <v/>
      </c>
      <c r="I22" s="6">
        <f>'NII数据源'!J21</f>
        <v/>
      </c>
      <c r="J22" s="17">
        <f>'NII数据源'!K21</f>
        <v/>
      </c>
      <c r="K22" s="6">
        <f>'NII数据源'!N21</f>
        <v/>
      </c>
      <c r="L22" s="17">
        <f>IF($K$26=0,0,K22/$K$26)</f>
        <v/>
      </c>
      <c r="M22" s="4">
        <f>'NII数据源'!P21</f>
        <v/>
      </c>
    </row>
    <row r="23">
      <c r="A23" s="4">
        <f>'NII数据源'!A22</f>
        <v/>
      </c>
      <c r="B23" s="4">
        <f>'NII数据源'!B22</f>
        <v/>
      </c>
      <c r="C23" s="4">
        <f>'NII数据源'!D22</f>
        <v/>
      </c>
      <c r="D23" s="4">
        <f>'NII数据源'!E22</f>
        <v/>
      </c>
      <c r="E23" s="4">
        <f>'NII数据源'!F22</f>
        <v/>
      </c>
      <c r="F23" s="4">
        <f>'NII数据源'!G22</f>
        <v/>
      </c>
      <c r="G23" s="6">
        <f>'NII数据源'!H22</f>
        <v/>
      </c>
      <c r="H23" s="6">
        <f>'NII数据源'!I22</f>
        <v/>
      </c>
      <c r="I23" s="6">
        <f>'NII数据源'!J22</f>
        <v/>
      </c>
      <c r="J23" s="17">
        <f>'NII数据源'!K22</f>
        <v/>
      </c>
      <c r="K23" s="6">
        <f>'NII数据源'!N22</f>
        <v/>
      </c>
      <c r="L23" s="17">
        <f>IF($K$26=0,0,K23/$K$26)</f>
        <v/>
      </c>
      <c r="M23" s="4">
        <f>'NII数据源'!P22</f>
        <v/>
      </c>
    </row>
    <row r="24">
      <c r="A24" s="4">
        <f>'NII数据源'!A23</f>
        <v/>
      </c>
      <c r="B24" s="4">
        <f>'NII数据源'!B23</f>
        <v/>
      </c>
      <c r="C24" s="4">
        <f>'NII数据源'!D23</f>
        <v/>
      </c>
      <c r="D24" s="4">
        <f>'NII数据源'!E23</f>
        <v/>
      </c>
      <c r="E24" s="4">
        <f>'NII数据源'!F23</f>
        <v/>
      </c>
      <c r="F24" s="4">
        <f>'NII数据源'!G23</f>
        <v/>
      </c>
      <c r="G24" s="6">
        <f>'NII数据源'!H23</f>
        <v/>
      </c>
      <c r="H24" s="6">
        <f>'NII数据源'!I23</f>
        <v/>
      </c>
      <c r="I24" s="6">
        <f>'NII数据源'!J23</f>
        <v/>
      </c>
      <c r="J24" s="17">
        <f>'NII数据源'!K23</f>
        <v/>
      </c>
      <c r="K24" s="6">
        <f>'NII数据源'!N23</f>
        <v/>
      </c>
      <c r="L24" s="17">
        <f>IF($K$26=0,0,K24/$K$26)</f>
        <v/>
      </c>
      <c r="M24" s="4">
        <f>'NII数据源'!P23</f>
        <v/>
      </c>
    </row>
    <row r="25">
      <c r="A25" s="4">
        <f>'NII数据源'!A24</f>
        <v/>
      </c>
      <c r="B25" s="4">
        <f>'NII数据源'!B24</f>
        <v/>
      </c>
      <c r="C25" s="4">
        <f>'NII数据源'!D24</f>
        <v/>
      </c>
      <c r="D25" s="4">
        <f>'NII数据源'!E24</f>
        <v/>
      </c>
      <c r="E25" s="4">
        <f>'NII数据源'!F24</f>
        <v/>
      </c>
      <c r="F25" s="4">
        <f>'NII数据源'!G24</f>
        <v/>
      </c>
      <c r="G25" s="6">
        <f>'NII数据源'!H24</f>
        <v/>
      </c>
      <c r="H25" s="6">
        <f>'NII数据源'!I24</f>
        <v/>
      </c>
      <c r="I25" s="6">
        <f>'NII数据源'!J24</f>
        <v/>
      </c>
      <c r="J25" s="17">
        <f>'NII数据源'!K24</f>
        <v/>
      </c>
      <c r="K25" s="6">
        <f>'NII数据源'!N24</f>
        <v/>
      </c>
      <c r="L25" s="17">
        <f>IF($K$26=0,0,K25/$K$26)</f>
        <v/>
      </c>
      <c r="M25" s="4">
        <f>'NII数据源'!P24</f>
        <v/>
      </c>
    </row>
    <row r="26">
      <c r="A26" s="18" t="inlineStr">
        <is>
          <t>【附】平均余额口径还原校验 —— 期末余额口径 vs 平均余额口径</t>
        </is>
      </c>
      <c r="B26" s="19" t="inlineStr">
        <is>
          <t>利息收入合计</t>
        </is>
      </c>
      <c r="C26" s="20" t="n"/>
      <c r="D26" s="20" t="n"/>
      <c r="E26" s="20" t="n"/>
      <c r="F26" s="20" t="n"/>
      <c r="G26" s="21">
        <f>SUM(G5:G25)</f>
        <v/>
      </c>
      <c r="H26" s="21">
        <f>SUM(H5:H25)</f>
        <v/>
      </c>
      <c r="I26" s="21">
        <f>SUM(I5:I25)</f>
        <v/>
      </c>
      <c r="J26" s="22">
        <f>IF(I26=0,0,K26/I26)</f>
        <v/>
      </c>
      <c r="K26" s="21">
        <f>SUM(K5:K25)</f>
        <v/>
      </c>
      <c r="L26" s="22">
        <f>IF(K26=0,0,SUM(L5:L25))</f>
        <v/>
      </c>
      <c r="M26" s="23" t="inlineStr">
        <is>
          <t>合计行 I = 加权平均年化收益率，L = 占比合计应为 100%</t>
        </is>
      </c>
    </row>
    <row r="27">
      <c r="B27" s="24" t="inlineStr">
        <is>
          <t>期末余额口径利息收入（Σ 资产端 期末余额 × 利率）</t>
        </is>
      </c>
      <c r="K27" s="25">
        <f>SUMPRODUCT(('NII数据源'!$C$4:$C$39="资产")*('NII数据源'!$K$4:$K$39&gt;0)*'NII数据源'!$I$4:$I$39,'NII数据源'!$K$4:$K$39)</f>
        <v/>
      </c>
      <c r="M27" s="2" t="inlineStr">
        <is>
          <t>与 K 列合计差额 = 平均余额法与期末余额法的利息差异</t>
        </is>
      </c>
    </row>
    <row r="28">
      <c r="A28" s="26" t="n"/>
      <c r="B28" s="27" t="inlineStr">
        <is>
          <t>差额（平均口径 − 期末口径）</t>
        </is>
      </c>
      <c r="C28" s="26" t="n"/>
      <c r="D28" s="26" t="n"/>
      <c r="E28" s="26" t="n"/>
      <c r="F28" s="26" t="n"/>
      <c r="G28" s="26" t="n"/>
      <c r="H28" s="26" t="n"/>
      <c r="I28" s="26" t="n"/>
      <c r="J28" s="26" t="n"/>
      <c r="K28" s="28">
        <f>K26-K27</f>
        <v/>
      </c>
      <c r="L28" s="26" t="n"/>
      <c r="M28" s="29" t="inlineStr">
        <is>
          <t>规模扩张期平均余额 &lt; 期末余额，资产端差额为负属正常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3" customWidth="1" min="3" max="3"/>
    <col width="11" customWidth="1" min="4" max="4"/>
    <col width="10" customWidth="1" min="5" max="5"/>
    <col width="15" customWidth="1" min="6" max="6"/>
    <col width="15" customWidth="1" min="7" max="7"/>
    <col width="13" customWidth="1" min="8" max="8"/>
    <col width="13" customWidth="1" min="9" max="9"/>
    <col width="15" customWidth="1" min="10" max="10"/>
    <col width="13" customWidth="1" min="11" max="11"/>
    <col width="30" customWidth="1" min="12" max="12"/>
  </cols>
  <sheetData>
    <row r="1">
      <c r="A1" s="1" t="inlineStr">
        <is>
          <t>利息支出明细表 (Interest Expense Detail) — 逐负债账户拆解</t>
        </is>
      </c>
    </row>
    <row r="2">
      <c r="A2" s="2" t="inlineStr">
        <is>
          <t>利息支出 = 平均余额 × 年化利率（仅计入有效计息负债，利率 &gt; 0）  |  全部引用「NII数据源」sheet  |  单位：亿元</t>
        </is>
      </c>
    </row>
    <row r="4" ht="34" customHeight="1">
      <c r="A4" s="3" t="inlineStr">
        <is>
          <t>账户编码</t>
        </is>
      </c>
      <c r="B4" s="3" t="inlineStr">
        <is>
          <t>账户名称</t>
        </is>
      </c>
      <c r="C4" s="3" t="inlineStr">
        <is>
          <t>业务条线</t>
        </is>
      </c>
      <c r="D4" s="3" t="inlineStr">
        <is>
          <t>子类</t>
        </is>
      </c>
      <c r="E4" s="3" t="inlineStr">
        <is>
          <t>账户类型</t>
        </is>
      </c>
      <c r="F4" s="3" t="inlineStr">
        <is>
          <t>币种</t>
        </is>
      </c>
      <c r="G4" s="3" t="inlineStr">
        <is>
          <t>期初余额
(亿元)</t>
        </is>
      </c>
      <c r="H4" s="3" t="inlineStr">
        <is>
          <t>期末余额
(亿元)</t>
        </is>
      </c>
      <c r="I4" s="3" t="inlineStr">
        <is>
          <t>平均余额
(亿元)</t>
        </is>
      </c>
      <c r="J4" s="3" t="inlineStr">
        <is>
          <t>年化利率</t>
        </is>
      </c>
      <c r="K4" s="3" t="inlineStr">
        <is>
          <t>利息支出
(亿元)</t>
        </is>
      </c>
      <c r="L4" s="3" t="inlineStr">
        <is>
          <t>利息支出
占比</t>
        </is>
      </c>
      <c r="M4" s="3" t="inlineStr">
        <is>
          <t>说明</t>
        </is>
      </c>
    </row>
    <row r="5">
      <c r="A5" s="9">
        <f>'NII数据源'!A25</f>
        <v/>
      </c>
      <c r="B5" s="9">
        <f>'NII数据源'!B25</f>
        <v/>
      </c>
      <c r="C5" s="9">
        <f>'NII数据源'!D25</f>
        <v/>
      </c>
      <c r="D5" s="9">
        <f>'NII数据源'!E25</f>
        <v/>
      </c>
      <c r="E5" s="9">
        <f>'NII数据源'!F25</f>
        <v/>
      </c>
      <c r="F5" s="9">
        <f>'NII数据源'!G25</f>
        <v/>
      </c>
      <c r="G5" s="30">
        <f>'NII数据源'!H25</f>
        <v/>
      </c>
      <c r="H5" s="30">
        <f>'NII数据源'!I25</f>
        <v/>
      </c>
      <c r="I5" s="30">
        <f>'NII数据源'!J25</f>
        <v/>
      </c>
      <c r="J5" s="31">
        <f>'NII数据源'!K25</f>
        <v/>
      </c>
      <c r="K5" s="30">
        <f>'NII数据源'!O25</f>
        <v/>
      </c>
      <c r="L5" s="31">
        <f>IF($K$20=0,0,K5/$K$20)</f>
        <v/>
      </c>
      <c r="M5" s="9">
        <f>'NII数据源'!P25</f>
        <v/>
      </c>
    </row>
    <row r="6">
      <c r="A6" s="9">
        <f>'NII数据源'!A26</f>
        <v/>
      </c>
      <c r="B6" s="9">
        <f>'NII数据源'!B26</f>
        <v/>
      </c>
      <c r="C6" s="9">
        <f>'NII数据源'!D26</f>
        <v/>
      </c>
      <c r="D6" s="9">
        <f>'NII数据源'!E26</f>
        <v/>
      </c>
      <c r="E6" s="9">
        <f>'NII数据源'!F26</f>
        <v/>
      </c>
      <c r="F6" s="9">
        <f>'NII数据源'!G26</f>
        <v/>
      </c>
      <c r="G6" s="30">
        <f>'NII数据源'!H26</f>
        <v/>
      </c>
      <c r="H6" s="30">
        <f>'NII数据源'!I26</f>
        <v/>
      </c>
      <c r="I6" s="30">
        <f>'NII数据源'!J26</f>
        <v/>
      </c>
      <c r="J6" s="31">
        <f>'NII数据源'!K26</f>
        <v/>
      </c>
      <c r="K6" s="30">
        <f>'NII数据源'!O26</f>
        <v/>
      </c>
      <c r="L6" s="31">
        <f>IF($K$20=0,0,K6/$K$20)</f>
        <v/>
      </c>
      <c r="M6" s="9">
        <f>'NII数据源'!P26</f>
        <v/>
      </c>
    </row>
    <row r="7">
      <c r="A7" s="9">
        <f>'NII数据源'!A27</f>
        <v/>
      </c>
      <c r="B7" s="9">
        <f>'NII数据源'!B27</f>
        <v/>
      </c>
      <c r="C7" s="9">
        <f>'NII数据源'!D27</f>
        <v/>
      </c>
      <c r="D7" s="9">
        <f>'NII数据源'!E27</f>
        <v/>
      </c>
      <c r="E7" s="9">
        <f>'NII数据源'!F27</f>
        <v/>
      </c>
      <c r="F7" s="9">
        <f>'NII数据源'!G27</f>
        <v/>
      </c>
      <c r="G7" s="30">
        <f>'NII数据源'!H27</f>
        <v/>
      </c>
      <c r="H7" s="30">
        <f>'NII数据源'!I27</f>
        <v/>
      </c>
      <c r="I7" s="30">
        <f>'NII数据源'!J27</f>
        <v/>
      </c>
      <c r="J7" s="31">
        <f>'NII数据源'!K27</f>
        <v/>
      </c>
      <c r="K7" s="30">
        <f>'NII数据源'!O27</f>
        <v/>
      </c>
      <c r="L7" s="31">
        <f>IF($K$20=0,0,K7/$K$20)</f>
        <v/>
      </c>
      <c r="M7" s="9">
        <f>'NII数据源'!P27</f>
        <v/>
      </c>
    </row>
    <row r="8">
      <c r="A8" s="9">
        <f>'NII数据源'!A28</f>
        <v/>
      </c>
      <c r="B8" s="9">
        <f>'NII数据源'!B28</f>
        <v/>
      </c>
      <c r="C8" s="9">
        <f>'NII数据源'!D28</f>
        <v/>
      </c>
      <c r="D8" s="9">
        <f>'NII数据源'!E28</f>
        <v/>
      </c>
      <c r="E8" s="9">
        <f>'NII数据源'!F28</f>
        <v/>
      </c>
      <c r="F8" s="9">
        <f>'NII数据源'!G28</f>
        <v/>
      </c>
      <c r="G8" s="30">
        <f>'NII数据源'!H28</f>
        <v/>
      </c>
      <c r="H8" s="30">
        <f>'NII数据源'!I28</f>
        <v/>
      </c>
      <c r="I8" s="30">
        <f>'NII数据源'!J28</f>
        <v/>
      </c>
      <c r="J8" s="31">
        <f>'NII数据源'!K28</f>
        <v/>
      </c>
      <c r="K8" s="30">
        <f>'NII数据源'!O28</f>
        <v/>
      </c>
      <c r="L8" s="31">
        <f>IF($K$20=0,0,K8/$K$20)</f>
        <v/>
      </c>
      <c r="M8" s="9">
        <f>'NII数据源'!P28</f>
        <v/>
      </c>
    </row>
    <row r="9">
      <c r="A9" s="9">
        <f>'NII数据源'!A29</f>
        <v/>
      </c>
      <c r="B9" s="9">
        <f>'NII数据源'!B29</f>
        <v/>
      </c>
      <c r="C9" s="9">
        <f>'NII数据源'!D29</f>
        <v/>
      </c>
      <c r="D9" s="9">
        <f>'NII数据源'!E29</f>
        <v/>
      </c>
      <c r="E9" s="9">
        <f>'NII数据源'!F29</f>
        <v/>
      </c>
      <c r="F9" s="9">
        <f>'NII数据源'!G29</f>
        <v/>
      </c>
      <c r="G9" s="30">
        <f>'NII数据源'!H29</f>
        <v/>
      </c>
      <c r="H9" s="30">
        <f>'NII数据源'!I29</f>
        <v/>
      </c>
      <c r="I9" s="30">
        <f>'NII数据源'!J29</f>
        <v/>
      </c>
      <c r="J9" s="31">
        <f>'NII数据源'!K29</f>
        <v/>
      </c>
      <c r="K9" s="30">
        <f>'NII数据源'!O29</f>
        <v/>
      </c>
      <c r="L9" s="31">
        <f>IF($K$20=0,0,K9/$K$20)</f>
        <v/>
      </c>
      <c r="M9" s="9">
        <f>'NII数据源'!P29</f>
        <v/>
      </c>
    </row>
    <row r="10">
      <c r="A10" s="9">
        <f>'NII数据源'!A30</f>
        <v/>
      </c>
      <c r="B10" s="9">
        <f>'NII数据源'!B30</f>
        <v/>
      </c>
      <c r="C10" s="9">
        <f>'NII数据源'!D30</f>
        <v/>
      </c>
      <c r="D10" s="9">
        <f>'NII数据源'!E30</f>
        <v/>
      </c>
      <c r="E10" s="9">
        <f>'NII数据源'!F30</f>
        <v/>
      </c>
      <c r="F10" s="9">
        <f>'NII数据源'!G30</f>
        <v/>
      </c>
      <c r="G10" s="30">
        <f>'NII数据源'!H30</f>
        <v/>
      </c>
      <c r="H10" s="30">
        <f>'NII数据源'!I30</f>
        <v/>
      </c>
      <c r="I10" s="30">
        <f>'NII数据源'!J30</f>
        <v/>
      </c>
      <c r="J10" s="31">
        <f>'NII数据源'!K30</f>
        <v/>
      </c>
      <c r="K10" s="30">
        <f>'NII数据源'!O30</f>
        <v/>
      </c>
      <c r="L10" s="31">
        <f>IF($K$20=0,0,K10/$K$20)</f>
        <v/>
      </c>
      <c r="M10" s="9">
        <f>'NII数据源'!P30</f>
        <v/>
      </c>
    </row>
    <row r="11">
      <c r="A11" s="9">
        <f>'NII数据源'!A31</f>
        <v/>
      </c>
      <c r="B11" s="9">
        <f>'NII数据源'!B31</f>
        <v/>
      </c>
      <c r="C11" s="9">
        <f>'NII数据源'!D31</f>
        <v/>
      </c>
      <c r="D11" s="9">
        <f>'NII数据源'!E31</f>
        <v/>
      </c>
      <c r="E11" s="9">
        <f>'NII数据源'!F31</f>
        <v/>
      </c>
      <c r="F11" s="9">
        <f>'NII数据源'!G31</f>
        <v/>
      </c>
      <c r="G11" s="30">
        <f>'NII数据源'!H31</f>
        <v/>
      </c>
      <c r="H11" s="30">
        <f>'NII数据源'!I31</f>
        <v/>
      </c>
      <c r="I11" s="30">
        <f>'NII数据源'!J31</f>
        <v/>
      </c>
      <c r="J11" s="31">
        <f>'NII数据源'!K31</f>
        <v/>
      </c>
      <c r="K11" s="30">
        <f>'NII数据源'!O31</f>
        <v/>
      </c>
      <c r="L11" s="31">
        <f>IF($K$20=0,0,K11/$K$20)</f>
        <v/>
      </c>
      <c r="M11" s="9">
        <f>'NII数据源'!P31</f>
        <v/>
      </c>
    </row>
    <row r="12">
      <c r="A12" s="9">
        <f>'NII数据源'!A32</f>
        <v/>
      </c>
      <c r="B12" s="9">
        <f>'NII数据源'!B32</f>
        <v/>
      </c>
      <c r="C12" s="9">
        <f>'NII数据源'!D32</f>
        <v/>
      </c>
      <c r="D12" s="9">
        <f>'NII数据源'!E32</f>
        <v/>
      </c>
      <c r="E12" s="9">
        <f>'NII数据源'!F32</f>
        <v/>
      </c>
      <c r="F12" s="9">
        <f>'NII数据源'!G32</f>
        <v/>
      </c>
      <c r="G12" s="30">
        <f>'NII数据源'!H32</f>
        <v/>
      </c>
      <c r="H12" s="30">
        <f>'NII数据源'!I32</f>
        <v/>
      </c>
      <c r="I12" s="30">
        <f>'NII数据源'!J32</f>
        <v/>
      </c>
      <c r="J12" s="31">
        <f>'NII数据源'!K32</f>
        <v/>
      </c>
      <c r="K12" s="30">
        <f>'NII数据源'!O32</f>
        <v/>
      </c>
      <c r="L12" s="31">
        <f>IF($K$20=0,0,K12/$K$20)</f>
        <v/>
      </c>
      <c r="M12" s="9">
        <f>'NII数据源'!P32</f>
        <v/>
      </c>
    </row>
    <row r="13">
      <c r="A13" s="9">
        <f>'NII数据源'!A33</f>
        <v/>
      </c>
      <c r="B13" s="9">
        <f>'NII数据源'!B33</f>
        <v/>
      </c>
      <c r="C13" s="9">
        <f>'NII数据源'!D33</f>
        <v/>
      </c>
      <c r="D13" s="9">
        <f>'NII数据源'!E33</f>
        <v/>
      </c>
      <c r="E13" s="9">
        <f>'NII数据源'!F33</f>
        <v/>
      </c>
      <c r="F13" s="9">
        <f>'NII数据源'!G33</f>
        <v/>
      </c>
      <c r="G13" s="30">
        <f>'NII数据源'!H33</f>
        <v/>
      </c>
      <c r="H13" s="30">
        <f>'NII数据源'!I33</f>
        <v/>
      </c>
      <c r="I13" s="30">
        <f>'NII数据源'!J33</f>
        <v/>
      </c>
      <c r="J13" s="31">
        <f>'NII数据源'!K33</f>
        <v/>
      </c>
      <c r="K13" s="30">
        <f>'NII数据源'!O33</f>
        <v/>
      </c>
      <c r="L13" s="31">
        <f>IF($K$20=0,0,K13/$K$20)</f>
        <v/>
      </c>
      <c r="M13" s="9">
        <f>'NII数据源'!P33</f>
        <v/>
      </c>
    </row>
    <row r="14">
      <c r="A14" s="9">
        <f>'NII数据源'!A34</f>
        <v/>
      </c>
      <c r="B14" s="9">
        <f>'NII数据源'!B34</f>
        <v/>
      </c>
      <c r="C14" s="9">
        <f>'NII数据源'!D34</f>
        <v/>
      </c>
      <c r="D14" s="9">
        <f>'NII数据源'!E34</f>
        <v/>
      </c>
      <c r="E14" s="9">
        <f>'NII数据源'!F34</f>
        <v/>
      </c>
      <c r="F14" s="9">
        <f>'NII数据源'!G34</f>
        <v/>
      </c>
      <c r="G14" s="30">
        <f>'NII数据源'!H34</f>
        <v/>
      </c>
      <c r="H14" s="30">
        <f>'NII数据源'!I34</f>
        <v/>
      </c>
      <c r="I14" s="30">
        <f>'NII数据源'!J34</f>
        <v/>
      </c>
      <c r="J14" s="31">
        <f>'NII数据源'!K34</f>
        <v/>
      </c>
      <c r="K14" s="30">
        <f>'NII数据源'!O34</f>
        <v/>
      </c>
      <c r="L14" s="31">
        <f>IF($K$20=0,0,K14/$K$20)</f>
        <v/>
      </c>
      <c r="M14" s="9">
        <f>'NII数据源'!P34</f>
        <v/>
      </c>
    </row>
    <row r="15">
      <c r="A15" s="9">
        <f>'NII数据源'!A35</f>
        <v/>
      </c>
      <c r="B15" s="9">
        <f>'NII数据源'!B35</f>
        <v/>
      </c>
      <c r="C15" s="9">
        <f>'NII数据源'!D35</f>
        <v/>
      </c>
      <c r="D15" s="9">
        <f>'NII数据源'!E35</f>
        <v/>
      </c>
      <c r="E15" s="9">
        <f>'NII数据源'!F35</f>
        <v/>
      </c>
      <c r="F15" s="9">
        <f>'NII数据源'!G35</f>
        <v/>
      </c>
      <c r="G15" s="30">
        <f>'NII数据源'!H35</f>
        <v/>
      </c>
      <c r="H15" s="30">
        <f>'NII数据源'!I35</f>
        <v/>
      </c>
      <c r="I15" s="30">
        <f>'NII数据源'!J35</f>
        <v/>
      </c>
      <c r="J15" s="31">
        <f>'NII数据源'!K35</f>
        <v/>
      </c>
      <c r="K15" s="30">
        <f>'NII数据源'!O35</f>
        <v/>
      </c>
      <c r="L15" s="31">
        <f>IF($K$20=0,0,K15/$K$20)</f>
        <v/>
      </c>
      <c r="M15" s="9">
        <f>'NII数据源'!P35</f>
        <v/>
      </c>
    </row>
    <row r="16">
      <c r="A16" s="9">
        <f>'NII数据源'!A36</f>
        <v/>
      </c>
      <c r="B16" s="9">
        <f>'NII数据源'!B36</f>
        <v/>
      </c>
      <c r="C16" s="9">
        <f>'NII数据源'!D36</f>
        <v/>
      </c>
      <c r="D16" s="9">
        <f>'NII数据源'!E36</f>
        <v/>
      </c>
      <c r="E16" s="9">
        <f>'NII数据源'!F36</f>
        <v/>
      </c>
      <c r="F16" s="9">
        <f>'NII数据源'!G36</f>
        <v/>
      </c>
      <c r="G16" s="30">
        <f>'NII数据源'!H36</f>
        <v/>
      </c>
      <c r="H16" s="30">
        <f>'NII数据源'!I36</f>
        <v/>
      </c>
      <c r="I16" s="30">
        <f>'NII数据源'!J36</f>
        <v/>
      </c>
      <c r="J16" s="31">
        <f>'NII数据源'!K36</f>
        <v/>
      </c>
      <c r="K16" s="30">
        <f>'NII数据源'!O36</f>
        <v/>
      </c>
      <c r="L16" s="31">
        <f>IF($K$20=0,0,K16/$K$20)</f>
        <v/>
      </c>
      <c r="M16" s="9">
        <f>'NII数据源'!P36</f>
        <v/>
      </c>
    </row>
    <row r="17">
      <c r="A17" s="9">
        <f>'NII数据源'!A37</f>
        <v/>
      </c>
      <c r="B17" s="9">
        <f>'NII数据源'!B37</f>
        <v/>
      </c>
      <c r="C17" s="9">
        <f>'NII数据源'!D37</f>
        <v/>
      </c>
      <c r="D17" s="9">
        <f>'NII数据源'!E37</f>
        <v/>
      </c>
      <c r="E17" s="9">
        <f>'NII数据源'!F37</f>
        <v/>
      </c>
      <c r="F17" s="9">
        <f>'NII数据源'!G37</f>
        <v/>
      </c>
      <c r="G17" s="30">
        <f>'NII数据源'!H37</f>
        <v/>
      </c>
      <c r="H17" s="30">
        <f>'NII数据源'!I37</f>
        <v/>
      </c>
      <c r="I17" s="30">
        <f>'NII数据源'!J37</f>
        <v/>
      </c>
      <c r="J17" s="31">
        <f>'NII数据源'!K37</f>
        <v/>
      </c>
      <c r="K17" s="30">
        <f>'NII数据源'!O37</f>
        <v/>
      </c>
      <c r="L17" s="31">
        <f>IF($K$20=0,0,K17/$K$20)</f>
        <v/>
      </c>
      <c r="M17" s="9">
        <f>'NII数据源'!P37</f>
        <v/>
      </c>
    </row>
    <row r="18">
      <c r="A18" s="9">
        <f>'NII数据源'!A38</f>
        <v/>
      </c>
      <c r="B18" s="9">
        <f>'NII数据源'!B38</f>
        <v/>
      </c>
      <c r="C18" s="9">
        <f>'NII数据源'!D38</f>
        <v/>
      </c>
      <c r="D18" s="9">
        <f>'NII数据源'!E38</f>
        <v/>
      </c>
      <c r="E18" s="9">
        <f>'NII数据源'!F38</f>
        <v/>
      </c>
      <c r="F18" s="9">
        <f>'NII数据源'!G38</f>
        <v/>
      </c>
      <c r="G18" s="30">
        <f>'NII数据源'!H38</f>
        <v/>
      </c>
      <c r="H18" s="30">
        <f>'NII数据源'!I38</f>
        <v/>
      </c>
      <c r="I18" s="30">
        <f>'NII数据源'!J38</f>
        <v/>
      </c>
      <c r="J18" s="31">
        <f>'NII数据源'!K38</f>
        <v/>
      </c>
      <c r="K18" s="30">
        <f>'NII数据源'!O38</f>
        <v/>
      </c>
      <c r="L18" s="31">
        <f>IF($K$20=0,0,K18/$K$20)</f>
        <v/>
      </c>
      <c r="M18" s="9">
        <f>'NII数据源'!P38</f>
        <v/>
      </c>
    </row>
    <row r="19">
      <c r="A19" s="9">
        <f>'NII数据源'!A39</f>
        <v/>
      </c>
      <c r="B19" s="9">
        <f>'NII数据源'!B39</f>
        <v/>
      </c>
      <c r="C19" s="9">
        <f>'NII数据源'!D39</f>
        <v/>
      </c>
      <c r="D19" s="9">
        <f>'NII数据源'!E39</f>
        <v/>
      </c>
      <c r="E19" s="9">
        <f>'NII数据源'!F39</f>
        <v/>
      </c>
      <c r="F19" s="9">
        <f>'NII数据源'!G39</f>
        <v/>
      </c>
      <c r="G19" s="30">
        <f>'NII数据源'!H39</f>
        <v/>
      </c>
      <c r="H19" s="30">
        <f>'NII数据源'!I39</f>
        <v/>
      </c>
      <c r="I19" s="30">
        <f>'NII数据源'!J39</f>
        <v/>
      </c>
      <c r="J19" s="31">
        <f>'NII数据源'!K39</f>
        <v/>
      </c>
      <c r="K19" s="30">
        <f>'NII数据源'!O39</f>
        <v/>
      </c>
      <c r="L19" s="31">
        <f>IF($K$20=0,0,K19/$K$20)</f>
        <v/>
      </c>
      <c r="M19" s="9">
        <f>'NII数据源'!P39</f>
        <v/>
      </c>
    </row>
    <row r="20">
      <c r="A20" s="18" t="inlineStr">
        <is>
          <t>【附】平均余额口径还原校验 —— 期末余额口径 vs 平均余额口径</t>
        </is>
      </c>
      <c r="B20" s="19" t="inlineStr">
        <is>
          <t>利息支出合计</t>
        </is>
      </c>
      <c r="C20" s="20" t="n"/>
      <c r="D20" s="20" t="n"/>
      <c r="E20" s="20" t="n"/>
      <c r="F20" s="20" t="n"/>
      <c r="G20" s="21">
        <f>SUM(G5:G19)</f>
        <v/>
      </c>
      <c r="H20" s="21">
        <f>SUM(H5:H19)</f>
        <v/>
      </c>
      <c r="I20" s="21">
        <f>SUM(I5:I19)</f>
        <v/>
      </c>
      <c r="J20" s="22">
        <f>IF(I20=0,0,K20/I20)</f>
        <v/>
      </c>
      <c r="K20" s="21">
        <f>SUM(K5:K19)</f>
        <v/>
      </c>
      <c r="L20" s="22">
        <f>IF(K20=0,0,SUM(L5:L19))</f>
        <v/>
      </c>
      <c r="M20" s="23" t="inlineStr">
        <is>
          <t>合计行 I = 加权平均成本率，L = 占比合计应为 100%</t>
        </is>
      </c>
    </row>
    <row r="21">
      <c r="B21" s="24" t="inlineStr">
        <is>
          <t>期末余额口径利息支出（Σ 负债端 期末余额 × 利率）</t>
        </is>
      </c>
      <c r="K21" s="32">
        <f>SUMPRODUCT(('NII数据源'!$C$4:$C$39="负债")*('NII数据源'!$K$4:$K$39&gt;0)*'NII数据源'!$I$4:$I$39,'NII数据源'!$K$4:$K$39)</f>
        <v/>
      </c>
      <c r="M21" s="2" t="inlineStr">
        <is>
          <t>与 K 列合计差额 = 平均余额法与期末余额法的利息差异</t>
        </is>
      </c>
    </row>
    <row r="22">
      <c r="A22" s="26" t="n"/>
      <c r="B22" s="27" t="inlineStr">
        <is>
          <t>差额（平均口径 − 期末口径）</t>
        </is>
      </c>
      <c r="C22" s="26" t="n"/>
      <c r="D22" s="26" t="n"/>
      <c r="E22" s="26" t="n"/>
      <c r="F22" s="26" t="n"/>
      <c r="G22" s="26" t="n"/>
      <c r="H22" s="26" t="n"/>
      <c r="I22" s="26" t="n"/>
      <c r="J22" s="26" t="n"/>
      <c r="K22" s="33">
        <f>K20-K21</f>
        <v/>
      </c>
      <c r="L22" s="26" t="n"/>
      <c r="M22" s="29" t="inlineStr">
        <is>
          <t>负债端扩张通常快于资产端，差额可能为正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6" customWidth="1" min="4" max="4"/>
    <col width="44" customWidth="1" min="5" max="5"/>
  </cols>
  <sheetData>
    <row r="1">
      <c r="A1" s="1" t="inlineStr">
        <is>
          <t>净利息收入（NII）计量表 — 中信银行 2025-12-31</t>
        </is>
      </c>
    </row>
    <row r="2">
      <c r="A2" s="2" t="inlineStr">
        <is>
          <t>NII = 利息收入 − 利息支出  |  NIM = NII ÷ 平均生息资产  |  本表所有数值引用「利息收入明细」「利息支出明细」，逐级联动  |  单位：亿元 / %</t>
        </is>
      </c>
    </row>
    <row r="4">
      <c r="A4" s="18" t="inlineStr">
        <is>
          <t>【一】生息资产与计息负债规模</t>
        </is>
      </c>
      <c r="B4" s="20" t="n"/>
      <c r="C4" s="20" t="n"/>
      <c r="D4" s="20" t="n"/>
      <c r="E4" s="20" t="n"/>
    </row>
    <row r="5">
      <c r="A5" s="27" t="inlineStr">
        <is>
          <t>平均生息资产合计（有效计息，利率 &gt; 0）</t>
        </is>
      </c>
      <c r="B5" s="28">
        <f>SUMPRODUCT(('NII数据源'!$C$4:$C$39="资产")*('NII数据源'!$K$4:$K$39&gt;0)*'NII数据源'!$J$4:$J$39)</f>
        <v/>
      </c>
      <c r="C5" s="34">
        <f>IF($B$5=0,0,B5/$B$5)</f>
        <v/>
      </c>
      <c r="D5" s="29" t="inlineStr">
        <is>
          <t>亿元</t>
        </is>
      </c>
      <c r="E5" s="29" t="inlineStr">
        <is>
          <t>剔除 FVTPL / 现金 / 其它非生息 / 外币非生息（利率 = 0 的资产）</t>
        </is>
      </c>
    </row>
    <row r="6">
      <c r="A6" s="27" t="inlineStr">
        <is>
          <t>其中：人民币生息资产</t>
        </is>
      </c>
      <c r="B6" s="28">
        <f>SUMPRODUCT(('NII数据源'!$G$4:$G$39="人民币")*('NII数据源'!$C$4:$C$39="资产")*('NII数据源'!$K$4:$K$39&gt;0)*'NII数据源'!$J$4:$J$39)</f>
        <v/>
      </c>
      <c r="C6" s="34">
        <f>IF($B$5=0,0,B6/$B$5)</f>
        <v/>
      </c>
      <c r="D6" s="29" t="inlineStr">
        <is>
          <t>亿元</t>
        </is>
      </c>
      <c r="E6" s="29" t="inlineStr">
        <is>
          <t>人民币计价且利率 &gt; 0</t>
        </is>
      </c>
    </row>
    <row r="7">
      <c r="A7" s="27" t="inlineStr">
        <is>
          <t>其中：外币生息资产（折人民币）</t>
        </is>
      </c>
      <c r="B7" s="28">
        <f>SUMPRODUCT(('NII数据源'!$G$4:$G$39="外币")*('NII数据源'!$C$4:$C$39="资产")*('NII数据源'!$K$4:$K$39&gt;0)*'NII数据源'!$J$4:$J$39)</f>
        <v/>
      </c>
      <c r="C7" s="34">
        <f>IF($B$5=0,0,B7/$B$5)</f>
        <v/>
      </c>
      <c r="D7" s="29" t="inlineStr">
        <is>
          <t>亿元</t>
        </is>
      </c>
      <c r="E7" s="29" t="inlineStr">
        <is>
          <t>外币计价且利率 &gt; 0</t>
        </is>
      </c>
    </row>
    <row r="8">
      <c r="A8" s="27" t="inlineStr">
        <is>
          <t>已剔除非生息资产（利率 = 0 的资产）</t>
        </is>
      </c>
      <c r="B8" s="28">
        <f>SUMPRODUCT(('NII数据源'!$C$4:$C$39="资产")*('NII数据源'!$K$4:$K$39=0)*'NII数据源'!$J$4:$J$39)</f>
        <v/>
      </c>
      <c r="C8" s="34">
        <f>IF($B$5=0,0,B8/$B$5)</f>
        <v/>
      </c>
      <c r="D8" s="29" t="inlineStr">
        <is>
          <t>亿元</t>
        </is>
      </c>
      <c r="E8" s="29" t="inlineStr">
        <is>
          <t>FVTPL / 现金 / 其它 / 外币非生息，单列备查</t>
        </is>
      </c>
    </row>
    <row r="9">
      <c r="A9" s="27" t="inlineStr">
        <is>
          <t>平均计息负债合计（有效计息，利率 &gt; 0）</t>
        </is>
      </c>
      <c r="B9" s="28">
        <f>'利息支出明细'!I20</f>
        <v/>
      </c>
      <c r="C9" s="34">
        <f>IF($B$5=0,0,B9/$B$5)</f>
        <v/>
      </c>
      <c r="D9" s="29" t="inlineStr">
        <is>
          <t>亿元</t>
        </is>
      </c>
      <c r="E9" s="29" t="inlineStr">
        <is>
          <t>全部计息负债利率均 &gt; 0</t>
        </is>
      </c>
    </row>
    <row r="10">
      <c r="A10" s="27" t="inlineStr">
        <is>
          <t>其中：存款类负债</t>
        </is>
      </c>
      <c r="B10" s="28">
        <f>SUMIF('NII数据源'!$D$4:$D$39,"存款类",'NII数据源'!$J$4:$J$39)</f>
        <v/>
      </c>
      <c r="C10" s="34">
        <f>IF($B$5=0,0,B10/$B$5)</f>
        <v/>
      </c>
      <c r="D10" s="29" t="inlineStr">
        <is>
          <t>亿元</t>
        </is>
      </c>
      <c r="E10" s="29" t="inlineStr">
        <is>
          <t>对公活期/定期 + 零售活期/定期</t>
        </is>
      </c>
    </row>
    <row r="11">
      <c r="A11" s="27" t="inlineStr">
        <is>
          <t>其中：同业负债</t>
        </is>
      </c>
      <c r="B11" s="28">
        <f>SUMIF('NII数据源'!$D$4:$D$39,"同业负债",'NII数据源'!$J$4:$J$39)</f>
        <v/>
      </c>
      <c r="C11" s="34">
        <f>IF($B$5=0,0,B11/$B$5)</f>
        <v/>
      </c>
      <c r="D11" s="29" t="inlineStr">
        <is>
          <t>亿元</t>
        </is>
      </c>
      <c r="E11" s="29" t="inlineStr">
        <is>
          <t>同业拆入/回购/NCD/同业存款/票据转贴现</t>
        </is>
      </c>
    </row>
    <row r="12">
      <c r="A12" s="27" t="inlineStr">
        <is>
          <t>其中：央行借款</t>
        </is>
      </c>
      <c r="B12" s="28">
        <f>SUMIF('NII数据源'!$D$4:$D$39,"央行借款",'NII数据源'!$J$4:$J$39)</f>
        <v/>
      </c>
      <c r="C12" s="34">
        <f>IF($B$5=0,0,B12/$B$5)</f>
        <v/>
      </c>
      <c r="D12" s="29" t="inlineStr">
        <is>
          <t>亿元</t>
        </is>
      </c>
      <c r="E12" s="29" t="inlineStr">
        <is>
          <t>OMO / MLF / 结构性工具 / 再贴现</t>
        </is>
      </c>
    </row>
    <row r="13">
      <c r="A13" s="27" t="inlineStr">
        <is>
          <t>其中：外币负债（折人民币）</t>
        </is>
      </c>
      <c r="B13" s="28">
        <f>SUMIF('NII数据源'!$D$4:$D$39,"外币负债",'NII数据源'!$J$4:$J$39)</f>
        <v/>
      </c>
      <c r="C13" s="34">
        <f>IF($B$5=0,0,B13/$B$5)</f>
        <v/>
      </c>
      <c r="D13" s="29" t="inlineStr">
        <is>
          <t>亿元</t>
        </is>
      </c>
      <c r="E13" s="29" t="inlineStr">
        <is>
          <t>外币存款 + 外币市场化负债</t>
        </is>
      </c>
    </row>
    <row r="15">
      <c r="A15" s="18" t="inlineStr">
        <is>
          <t>【二】利息收入与利息支出</t>
        </is>
      </c>
      <c r="B15" s="20" t="n"/>
      <c r="C15" s="20" t="n"/>
      <c r="D15" s="20" t="n"/>
      <c r="E15" s="20" t="n"/>
    </row>
    <row r="16">
      <c r="A16" s="27" t="inlineStr">
        <is>
          <t>利息收入合计（平均余额口径）</t>
        </is>
      </c>
      <c r="B16" s="28">
        <f>'利息收入明细'!K26</f>
        <v/>
      </c>
      <c r="C16" s="26" t="n"/>
      <c r="D16" s="29" t="inlineStr">
        <is>
          <t>亿元</t>
        </is>
      </c>
      <c r="E16" s="29" t="inlineStr">
        <is>
          <t>资产端</t>
        </is>
      </c>
    </row>
    <row r="17">
      <c r="A17" s="27" t="inlineStr">
        <is>
          <t>利息收入合计（期末余额口径）</t>
        </is>
      </c>
      <c r="B17" s="28">
        <f>'利息收入明细'!K27</f>
        <v/>
      </c>
      <c r="C17" s="26" t="n"/>
      <c r="D17" s="29" t="inlineStr">
        <is>
          <t>亿元</t>
        </is>
      </c>
      <c r="E17" s="29" t="inlineStr">
        <is>
          <t>资产端</t>
        </is>
      </c>
    </row>
    <row r="18">
      <c r="A18" s="27" t="inlineStr">
        <is>
          <t>利息支出合计（平均余额口径）</t>
        </is>
      </c>
      <c r="B18" s="28">
        <f>'利息支出明细'!K20</f>
        <v/>
      </c>
      <c r="C18" s="26" t="n"/>
      <c r="D18" s="29" t="inlineStr">
        <is>
          <t>亿元</t>
        </is>
      </c>
      <c r="E18" s="29" t="inlineStr">
        <is>
          <t>负债端</t>
        </is>
      </c>
    </row>
    <row r="19">
      <c r="A19" s="27" t="inlineStr">
        <is>
          <t>利息支出合计（期末余额口径）</t>
        </is>
      </c>
      <c r="B19" s="28">
        <f>'利息支出明细'!K21</f>
        <v/>
      </c>
      <c r="C19" s="26" t="n"/>
      <c r="D19" s="29" t="inlineStr">
        <is>
          <t>亿元</t>
        </is>
      </c>
      <c r="E19" s="29" t="inlineStr">
        <is>
          <t>负债端</t>
        </is>
      </c>
    </row>
    <row r="21">
      <c r="A21" s="18" t="inlineStr">
        <is>
          <t>【三】净利息收入 NII（核心指标）</t>
        </is>
      </c>
      <c r="B21" s="20" t="n"/>
      <c r="C21" s="20" t="n"/>
      <c r="D21" s="20" t="n"/>
      <c r="E21" s="20" t="n"/>
    </row>
    <row r="22">
      <c r="A22" s="35" t="inlineStr">
        <is>
          <t>净利息收入 NII（平均余额口径，主口径）</t>
        </is>
      </c>
      <c r="B22" s="36">
        <f>B16-B18</f>
        <v/>
      </c>
      <c r="C22" s="37" t="n"/>
      <c r="D22" s="35" t="inlineStr">
        <is>
          <t>亿元</t>
        </is>
      </c>
      <c r="E22" s="35" t="inlineStr">
        <is>
          <t>NII = 利息收入 − 利息支出；本模版主口径</t>
        </is>
      </c>
    </row>
    <row r="23">
      <c r="A23" s="27" t="inlineStr">
        <is>
          <t>净利息收入 NII（期末余额口径）</t>
        </is>
      </c>
      <c r="B23" s="28">
        <f>B17-B19</f>
        <v/>
      </c>
      <c r="C23" s="26" t="n"/>
      <c r="D23" s="29" t="inlineStr">
        <is>
          <t>亿元</t>
        </is>
      </c>
      <c r="E23" s="29" t="inlineStr">
        <is>
          <t>简化口径，用于与未披露期初余额的报表直接对比</t>
        </is>
      </c>
    </row>
    <row r="24">
      <c r="A24" s="27" t="inlineStr">
        <is>
          <t>两口径差额（平均口径 − 期末口径）</t>
        </is>
      </c>
      <c r="B24" s="28">
        <f>B22-B23</f>
        <v/>
      </c>
      <c r="C24" s="26" t="n"/>
      <c r="D24" s="29" t="inlineStr">
        <is>
          <t>亿元</t>
        </is>
      </c>
      <c r="E24" s="29" t="inlineStr">
        <is>
          <t>反映年度平均余额与期末余额的规模差异</t>
        </is>
      </c>
    </row>
    <row r="26">
      <c r="A26" s="18" t="inlineStr">
        <is>
          <t>【四】利差与净息差核心比率</t>
        </is>
      </c>
      <c r="B26" s="20" t="n"/>
      <c r="C26" s="20" t="n"/>
      <c r="D26" s="20" t="n"/>
      <c r="E26" s="20" t="n"/>
    </row>
    <row r="27">
      <c r="A27" s="27" t="inlineStr">
        <is>
          <t>生息资产收益率（利息收入 ÷ 平均生息资产）</t>
        </is>
      </c>
      <c r="B27" s="38">
        <f>IF($B$5=0,0,$B$16/$B$5)</f>
        <v/>
      </c>
      <c r="C27" s="26" t="n"/>
      <c r="D27" s="29" t="inlineStr">
        <is>
          <t>%</t>
        </is>
      </c>
      <c r="E27" s="29" t="inlineStr">
        <is>
          <t>资产端盈利能力</t>
        </is>
      </c>
    </row>
    <row r="28">
      <c r="A28" s="27" t="inlineStr">
        <is>
          <t>计息负债成本率（利息支出 ÷ 平均计息负债）</t>
        </is>
      </c>
      <c r="B28" s="38">
        <f>IF($B$9=0,0,$B$18/$B$9)</f>
        <v/>
      </c>
      <c r="C28" s="26" t="n"/>
      <c r="D28" s="29" t="inlineStr">
        <is>
          <t>%</t>
        </is>
      </c>
      <c r="E28" s="29" t="inlineStr">
        <is>
          <t>负债端付息成本</t>
        </is>
      </c>
    </row>
    <row r="29">
      <c r="A29" s="39" t="inlineStr">
        <is>
          <t>净利差 NIS（净收益率 − 净成本率）</t>
        </is>
      </c>
      <c r="B29" s="38">
        <f>B27-B28</f>
        <v/>
      </c>
      <c r="C29" s="26" t="n"/>
      <c r="D29" s="29" t="inlineStr">
        <is>
          <t>%</t>
        </is>
      </c>
      <c r="E29" s="29" t="inlineStr">
        <is>
          <t>资产端与负债端定价之差</t>
        </is>
      </c>
    </row>
    <row r="30">
      <c r="A30" s="40" t="inlineStr">
        <is>
          <t>净息差 NIM（NII ÷ 平均生息资产）</t>
        </is>
      </c>
      <c r="B30" s="41">
        <f>IF($B$5=0,0,$B$22/$B$5)</f>
        <v/>
      </c>
      <c r="C30" s="37" t="n"/>
      <c r="D30" s="42" t="inlineStr">
        <is>
          <t>%</t>
        </is>
      </c>
      <c r="E30" s="42" t="inlineStr">
        <is>
          <t>★ NII 计量最终输出指标</t>
        </is>
      </c>
    </row>
    <row r="31">
      <c r="A31" s="27" t="inlineStr">
        <is>
          <t>平均生息资产收益率（期末口径 NIM）</t>
        </is>
      </c>
      <c r="B31" s="38">
        <f>IF($B$5=0,0,$B$23/$B$5)</f>
        <v/>
      </c>
      <c r="C31" s="26" t="n"/>
      <c r="D31" s="29" t="inlineStr">
        <is>
          <t>%</t>
        </is>
      </c>
      <c r="E31" s="29" t="inlineStr">
        <is>
          <t>简化口径 NIM</t>
        </is>
      </c>
    </row>
    <row r="33">
      <c r="A33" s="18" t="inlineStr">
        <is>
          <t>【五】资产负债结构与存款成本辅助比率</t>
        </is>
      </c>
      <c r="B33" s="20" t="n"/>
      <c r="C33" s="20" t="n"/>
      <c r="D33" s="20" t="n"/>
      <c r="E33" s="20" t="n"/>
    </row>
    <row r="34">
      <c r="A34" s="27" t="inlineStr">
        <is>
          <t>平均贷款余额（5 项贷款）</t>
        </is>
      </c>
      <c r="B34" s="28">
        <f>SUMIF('NII数据源'!$D$4:$D$39,"贷款类",'NII数据源'!$J$4:$J$39)</f>
        <v/>
      </c>
      <c r="C34" s="26" t="n"/>
      <c r="D34" s="29" t="inlineStr">
        <is>
          <t>亿元</t>
        </is>
      </c>
      <c r="E34" s="29" t="inlineStr">
        <is>
          <t>对公/个人/信用卡/票据/非银</t>
        </is>
      </c>
    </row>
    <row r="35">
      <c r="A35" s="27" t="inlineStr">
        <is>
          <t>平均存款余额（4 项存款）</t>
        </is>
      </c>
      <c r="B35" s="28">
        <f>SUMIF('NII数据源'!$D$4:$D$39,"存款类",'NII数据源'!$J$4:$J$39)</f>
        <v/>
      </c>
      <c r="C35" s="26" t="n"/>
      <c r="D35" s="29" t="inlineStr">
        <is>
          <t>亿元</t>
        </is>
      </c>
      <c r="E35" s="29" t="inlineStr">
        <is>
          <t>对公活期/定期 + 零售活期/定期</t>
        </is>
      </c>
    </row>
    <row r="36">
      <c r="A36" s="27" t="inlineStr">
        <is>
          <t>存贷比（平均贷款 ÷ 平均计息负债）</t>
        </is>
      </c>
      <c r="B36" s="34">
        <f>IF($B$9=0,0,$B$34/$B$9)</f>
        <v/>
      </c>
      <c r="C36" s="26" t="n"/>
      <c r="D36" s="29" t="inlineStr">
        <is>
          <t>%</t>
        </is>
      </c>
      <c r="E36" s="29" t="inlineStr">
        <is>
          <t>监管上限 100%（现行为 75% 分档考核）</t>
        </is>
      </c>
    </row>
    <row r="37">
      <c r="A37" s="27" t="inlineStr">
        <is>
          <t>生息资产占资产端余额比重</t>
        </is>
      </c>
      <c r="B37" s="34">
        <f>IF(SUMIF('NII数据源'!$C$4:$C$39,"资产",'NII数据源'!$J$4:$J$39)=0,0,$B$5/SUMIF('NII数据源'!$C$4:$C$39,"资产",'NII数据源'!$J$4:$J$39))</f>
        <v/>
      </c>
      <c r="C37" s="26" t="n"/>
      <c r="D37" s="29" t="inlineStr">
        <is>
          <t>%</t>
        </is>
      </c>
      <c r="E37" s="29" t="inlineStr">
        <is>
          <t>1 − 剔除非生息资产后的资产结构占比</t>
        </is>
      </c>
    </row>
    <row r="38">
      <c r="A38" s="27" t="inlineStr">
        <is>
          <t>贷存比（平均贷款 ÷ 平均存款）</t>
        </is>
      </c>
      <c r="B38" s="34">
        <f>IF($B$35=0,0,$B$34/$B$35)</f>
        <v/>
      </c>
      <c r="C38" s="26" t="n"/>
      <c r="D38" s="29" t="inlineStr">
        <is>
          <t>%</t>
        </is>
      </c>
      <c r="E38" s="29" t="inlineStr">
        <is>
          <t>存款对贷款的覆盖程度，贷存比越低存款沉淀越充分</t>
        </is>
      </c>
    </row>
    <row r="39">
      <c r="A39" s="27" t="inlineStr">
        <is>
          <t>活期存款占存款比重（活期化率）</t>
        </is>
      </c>
      <c r="B39" s="34">
        <f>IF($B$35=0,0,SUMIF('NII数据源'!$F$4:$F$39,"活期",'NII数据源'!$J$4:$J$39)/$B$35)</f>
        <v/>
      </c>
      <c r="C39" s="26" t="n"/>
      <c r="D39" s="29" t="inlineStr">
        <is>
          <t>%</t>
        </is>
      </c>
      <c r="E39" s="29" t="inlineStr">
        <is>
          <t>活期付息成本极低，活期化率越高 → 负债成本越低 → NIM 越高</t>
        </is>
      </c>
    </row>
    <row r="41">
      <c r="A41" s="18" t="inlineStr">
        <is>
          <t>【六】勾稽校验（校验 1~7 应全部为 0）</t>
        </is>
      </c>
      <c r="B41" s="20" t="n"/>
      <c r="C41" s="20" t="n"/>
      <c r="D41" s="20" t="n"/>
      <c r="E41" s="20" t="n"/>
    </row>
    <row r="42">
      <c r="A42" s="27" t="inlineStr">
        <is>
          <t>校验 1：利息收入明细合计 = 数据源 Σ 利息收入</t>
        </is>
      </c>
      <c r="B42" s="28">
        <f>ROUND('利息收入明细'!K26-'NII数据源'!N40,6)</f>
        <v/>
      </c>
      <c r="C42" s="26" t="n"/>
      <c r="D42" s="29" t="inlineStr">
        <is>
          <t>亿元</t>
        </is>
      </c>
      <c r="E42" s="29" t="inlineStr">
        <is>
          <t>明细 ↔ 数据源交叉勾稽</t>
        </is>
      </c>
    </row>
    <row r="43">
      <c r="A43" s="27" t="inlineStr">
        <is>
          <t>校验 2：利息支出明细合计 = 数据源 Σ 利息支出</t>
        </is>
      </c>
      <c r="B43" s="28">
        <f>ROUND('利息支出明细'!K20-'NII数据源'!O40,6)</f>
        <v/>
      </c>
      <c r="C43" s="26" t="n"/>
      <c r="D43" s="29" t="inlineStr">
        <is>
          <t>亿元</t>
        </is>
      </c>
      <c r="E43" s="29" t="inlineStr">
        <is>
          <t>明细 ↔ 数据源交叉勾稽</t>
        </is>
      </c>
    </row>
    <row r="44">
      <c r="A44" s="27" t="inlineStr">
        <is>
          <t>校验 3：利息收入占比合计 = 100%</t>
        </is>
      </c>
      <c r="B44" s="28">
        <f>ROUND('利息收入明细'!L26-1,8)</f>
        <v/>
      </c>
      <c r="C44" s="26" t="n"/>
      <c r="D44" s="29" t="inlineStr">
        <is>
          <t>亿元</t>
        </is>
      </c>
      <c r="E44" s="29" t="inlineStr">
        <is>
          <t>占比无重复无遗漏</t>
        </is>
      </c>
    </row>
    <row r="45">
      <c r="A45" s="27" t="inlineStr">
        <is>
          <t>校验 4：利息支出占比合计 = 100%</t>
        </is>
      </c>
      <c r="B45" s="28">
        <f>ROUND('利息支出明细'!L20-1,8)</f>
        <v/>
      </c>
      <c r="C45" s="26" t="n"/>
      <c r="D45" s="29" t="inlineStr">
        <is>
          <t>亿元</t>
        </is>
      </c>
      <c r="E45" s="29" t="inlineStr">
        <is>
          <t>占比无重复无遗漏</t>
        </is>
      </c>
    </row>
    <row r="46">
      <c r="A46" s="27" t="inlineStr">
        <is>
          <t>校验 5：NII = 利息收入 − 利息支出（核心恒等式）</t>
        </is>
      </c>
      <c r="B46" s="28">
        <f>ROUND($B$22-($B$16-$B$18),8)</f>
        <v/>
      </c>
      <c r="C46" s="26" t="n"/>
      <c r="D46" s="29" t="inlineStr">
        <is>
          <t>亿元</t>
        </is>
      </c>
      <c r="E46" s="29" t="inlineStr">
        <is>
          <t>NII 主口径恒等式自检</t>
        </is>
      </c>
    </row>
    <row r="47">
      <c r="A47" s="27" t="inlineStr">
        <is>
          <t>校验 6：生息资产条线加总（剔除非生息）= 平均生息资产</t>
        </is>
      </c>
      <c r="B47" s="28">
        <f>ROUND(SUMIF('NII数据源'!$D$4:$D$39,"贷款类",'NII数据源'!$J$4:$J$39)+SUMIF('NII数据源'!$D$4:$D$39,"债券投资类",'NII数据源'!$J$4:$J$39)+SUMIF('NII数据源'!$D$4:$D$39,"金融市场类",'NII数据源'!$J$4:$J$39)+SUMIF('NII数据源'!$D$4:$D$39,"外币资产",'NII数据源'!$J$4:$J$39)-SUMPRODUCT(('NII数据源'!$D$4:$D$39="外币资产")*('NII数据源'!$K$4:$K$39=0)*'NII数据源'!$J$4:$J$39)-SUMPRODUCT(('NII数据源'!$D$4:$D$39="债券投资类")*('NII数据源'!$K$4:$K$39=0)*'NII数据源'!$J$4:$J$39)-$B$5,6)</f>
        <v/>
      </c>
      <c r="C47" s="26" t="n"/>
      <c r="D47" s="29" t="inlineStr">
        <is>
          <t>亿元</t>
        </is>
      </c>
      <c r="E47" s="29" t="inlineStr">
        <is>
          <t>贷款+债券+金融+外币 − 利率 0 的外币非生息/债券 FVTPL = 生息资产</t>
        </is>
      </c>
    </row>
    <row r="48">
      <c r="A48" s="27" t="inlineStr">
        <is>
          <t>校验 7：计息负债条线加总 = 平均计息负债</t>
        </is>
      </c>
      <c r="B48" s="28">
        <f>ROUND(SUMIF('NII数据源'!$D$4:$D$39,"存款类",'NII数据源'!$J$4:$J$39)+SUMIF('NII数据源'!$D$4:$D$39,"同业负债",'NII数据源'!$J$4:$J$39)+SUMIF('NII数据源'!$D$4:$D$39,"央行借款",'NII数据源'!$J$4:$J$39)+SUMIF('NII数据源'!$D$4:$D$39,"外币负债",'NII数据源'!$J$4:$J$39)-$B$9,6)</f>
        <v/>
      </c>
      <c r="C48" s="26" t="n"/>
      <c r="D48" s="29" t="inlineStr">
        <is>
          <t>亿元</t>
        </is>
      </c>
      <c r="E48" s="29" t="inlineStr">
        <is>
          <t>存款+同业+央行+外币 = 计息负债</t>
        </is>
      </c>
    </row>
    <row r="49">
      <c r="A49" s="27" t="inlineStr">
        <is>
          <t>校验 8（信息项，非校验）：已剔除非生息资产规模</t>
        </is>
      </c>
      <c r="B49" s="28">
        <f>$B$8</f>
        <v/>
      </c>
      <c r="C49" s="26" t="n"/>
      <c r="D49" s="29" t="inlineStr">
        <is>
          <t>亿元</t>
        </is>
      </c>
      <c r="E49" s="29" t="inlineStr">
        <is>
          <t>该值应 &gt; 0，代表从生息资产中剔除的非生息部分</t>
        </is>
      </c>
    </row>
    <row r="50">
      <c r="A50" s="27" t="inlineStr">
        <is>
          <t>校验 9（信息项）：人民币 + 外币生息资产 = 平均生息资产</t>
        </is>
      </c>
      <c r="B50" s="28">
        <f>ROUND($B$6+$B$7-$B$5,6)</f>
        <v/>
      </c>
      <c r="C50" s="26" t="n"/>
      <c r="D50" s="29" t="inlineStr">
        <is>
          <t>亿元</t>
        </is>
      </c>
      <c r="E50" s="29" t="inlineStr">
        <is>
          <t>币种维度加总勾稽</t>
        </is>
      </c>
    </row>
    <row r="51">
      <c r="A51" s="27" t="inlineStr">
        <is>
          <t>校验 10（信息项）：人民币 + 外币计息负债 = 平均计息负债</t>
        </is>
      </c>
      <c r="B51" s="28">
        <f>ROUND(SUMIF('NII数据源'!$G$4:$G$39,"人民币",'NII数据源'!$J$4:$J$39)+SUMIF('NII数据源'!$G$4:$G$39,"外币",'NII数据源'!$J$4:$J$39)-$B$9-SUMIF('NII数据源'!$C$4:$C$39,"资产",'NII数据源'!$J$4:$J$39),6)</f>
        <v/>
      </c>
      <c r="C51" s="26" t="n"/>
      <c r="D51" s="29" t="inlineStr">
        <is>
          <t>亿元</t>
        </is>
      </c>
      <c r="E51" s="29" t="inlineStr">
        <is>
          <t>全部账户按币种加总 − 资产端 − 计息负债 = 0</t>
        </is>
      </c>
    </row>
    <row r="53">
      <c r="A53" s="18" t="inlineStr">
        <is>
          <t>【七】监管参考与达标判定</t>
        </is>
      </c>
      <c r="B53" s="20" t="n"/>
      <c r="C53" s="20" t="n"/>
      <c r="D53" s="20" t="n"/>
      <c r="E53" s="20" t="n"/>
    </row>
    <row r="54">
      <c r="A54" s="27" t="inlineStr">
        <is>
          <t>商业银行净息差 NIM 合理区间下限</t>
        </is>
      </c>
      <c r="B54" s="7" t="n">
        <v>0.015</v>
      </c>
      <c r="C54" s="26" t="n"/>
      <c r="D54" s="29" t="inlineStr">
        <is>
          <t>%</t>
        </is>
      </c>
      <c r="E54" s="29" t="inlineStr">
        <is>
          <t>监管非强制指引参考值</t>
        </is>
      </c>
    </row>
    <row r="55">
      <c r="A55" s="27" t="inlineStr">
        <is>
          <t>商业银行净息差 NIM 合理区间上限</t>
        </is>
      </c>
      <c r="B55" s="7" t="n">
        <v>0.025</v>
      </c>
      <c r="C55" s="26" t="n"/>
      <c r="D55" s="29" t="inlineStr">
        <is>
          <t>%</t>
        </is>
      </c>
      <c r="E55" s="29" t="inlineStr">
        <is>
          <t>监管非强制指引参考值</t>
        </is>
      </c>
    </row>
    <row r="56">
      <c r="A56" s="27" t="inlineStr">
        <is>
          <t>本行 NIM 达标判定</t>
        </is>
      </c>
      <c r="B56" s="43">
        <f>IF($B$30&gt;=$B$54,"达标","不达标")</f>
        <v/>
      </c>
      <c r="C56" s="26" t="n"/>
      <c r="D56" s="29" t="inlineStr"/>
      <c r="E56" s="29" t="inlineStr">
        <is>
          <t>NIM ≥ 1.50%</t>
        </is>
      </c>
    </row>
    <row r="57">
      <c r="A57" s="27" t="inlineStr">
        <is>
          <t>本行 NIM 在合理区间内判定</t>
        </is>
      </c>
      <c r="B57" s="43">
        <f>IF(AND($B$30&gt;=$B$54,$B$30&lt;=$B$55),"位于合理区间","偏离合理区间")</f>
        <v/>
      </c>
      <c r="C57" s="26" t="n"/>
      <c r="D57" s="29" t="inlineStr"/>
      <c r="E57" s="29" t="inlineStr">
        <is>
          <t>1.50% ≤ NIM ≤ 2.50%</t>
        </is>
      </c>
    </row>
    <row r="58">
      <c r="A58" s="27" t="inlineStr">
        <is>
          <t>本行存贷比达标判定</t>
        </is>
      </c>
      <c r="B58" s="43">
        <f>IF($B$36&lt;=1,"达标","超标")</f>
        <v/>
      </c>
      <c r="C58" s="26" t="n"/>
      <c r="D58" s="29" t="inlineStr"/>
      <c r="E58" s="29" t="inlineStr">
        <is>
          <t>存贷比 ≤ 100%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3" customWidth="1" min="4" max="4"/>
    <col width="13" customWidth="1" min="5" max="5"/>
    <col width="16" customWidth="1" min="6" max="6"/>
    <col width="13" customWidth="1" min="7" max="7"/>
    <col width="13" customWidth="1" min="8" max="8"/>
    <col width="38" customWidth="1" min="9" max="9"/>
  </cols>
  <sheetData>
    <row r="1">
      <c r="A1" s="1" t="inlineStr">
        <is>
          <t>NII 结构拆解分析 (Net Interest Income Decomposition)</t>
        </is>
      </c>
    </row>
    <row r="2">
      <c r="A2" s="2" t="inlineStr">
        <is>
          <t>按业务条线 / 币种 / 账户类型三维拆解 NII 贡献  |  全部由 SUMIF 引用「NII数据源」，联动更新  |  单位：亿元</t>
        </is>
      </c>
    </row>
    <row r="4">
      <c r="A4" s="18" t="inlineStr">
        <is>
          <t>【一】按业务条线拆解 —— 资产端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</row>
    <row r="5" ht="34" customHeight="1">
      <c r="A5" s="3" t="inlineStr">
        <is>
          <t>业务条线</t>
        </is>
      </c>
      <c r="B5" s="3" t="inlineStr">
        <is>
          <t>平均余额
(亿元)</t>
        </is>
      </c>
      <c r="C5" s="3" t="inlineStr">
        <is>
          <t>余额占比</t>
        </is>
      </c>
      <c r="D5" s="3" t="inlineStr">
        <is>
          <t>利息收入
(亿元)</t>
        </is>
      </c>
      <c r="E5" s="3" t="inlineStr">
        <is>
          <t>利息占比</t>
        </is>
      </c>
      <c r="F5" s="3" t="inlineStr">
        <is>
          <t>综合收益率</t>
        </is>
      </c>
      <c r="G5" s="3" t="inlineStr">
        <is>
          <t>余额贡献
(百分点)</t>
        </is>
      </c>
      <c r="H5" s="3" t="inlineStr">
        <is>
          <t>利息贡献
(百分点)</t>
        </is>
      </c>
      <c r="I5" s="3" t="inlineStr">
        <is>
          <t>说明</t>
        </is>
      </c>
    </row>
    <row r="6">
      <c r="A6" s="27" t="inlineStr">
        <is>
          <t>贷款类</t>
        </is>
      </c>
      <c r="B6" s="28">
        <f>SUMIF('NII数据源'!$D$4:$D$39,"贷款类",'NII数据源'!$J$4:$J$39)</f>
        <v/>
      </c>
      <c r="C6" s="34">
        <f>IF($B$11=0,0,B6/$B$11)</f>
        <v/>
      </c>
      <c r="D6" s="28">
        <f>SUMIF('NII数据源'!$D$4:$D$39,"贷款类",'NII数据源'!$N$4:$N$39)</f>
        <v/>
      </c>
      <c r="E6" s="34">
        <f>IF($D$11=0,0,D6/$D$11)</f>
        <v/>
      </c>
      <c r="F6" s="38">
        <f>IF(B6=0,0,D6/B6)</f>
        <v/>
      </c>
      <c r="G6" s="38">
        <f>IF($B$11=0,0,B6/$B$11*F6)</f>
        <v/>
      </c>
      <c r="H6" s="38">
        <f>IF($B$11=0,0,B6/$B$11*$B$27)</f>
        <v/>
      </c>
      <c r="I6" s="44" t="inlineStr">
        <is>
          <t>核心生息资产，占比最高但收益率由信用卡拉升</t>
        </is>
      </c>
    </row>
    <row r="7">
      <c r="A7" s="27" t="inlineStr">
        <is>
          <t>债券投资类</t>
        </is>
      </c>
      <c r="B7" s="28">
        <f>SUMIF('NII数据源'!$D$4:$D$39,"债券投资类",'NII数据源'!$J$4:$J$39)</f>
        <v/>
      </c>
      <c r="C7" s="34">
        <f>IF($B$11=0,0,B7/$B$11)</f>
        <v/>
      </c>
      <c r="D7" s="28">
        <f>SUMIF('NII数据源'!$D$4:$D$39,"债券投资类",'NII数据源'!$N$4:$N$39)</f>
        <v/>
      </c>
      <c r="E7" s="34">
        <f>IF($D$11=0,0,D7/$D$11)</f>
        <v/>
      </c>
      <c r="F7" s="38">
        <f>IF(B7=0,0,D7/B7)</f>
        <v/>
      </c>
      <c r="G7" s="38">
        <f>IF($B$11=0,0,B7/$B$11*F7)</f>
        <v/>
      </c>
      <c r="H7" s="38">
        <f>IF($B$11=0,0,B7/$B$11*$B$27)</f>
        <v/>
      </c>
      <c r="I7" s="44" t="inlineStr">
        <is>
          <t>低波动收益来源，AC/FVOCI 计入，票息 FVTPL 为 0</t>
        </is>
      </c>
    </row>
    <row r="8">
      <c r="A8" s="27" t="inlineStr">
        <is>
          <t>金融市场类</t>
        </is>
      </c>
      <c r="B8" s="28">
        <f>SUMIF('NII数据源'!$D$4:$D$39,"金融市场类",'NII数据源'!$J$4:$J$39)</f>
        <v/>
      </c>
      <c r="C8" s="34">
        <f>IF($B$11=0,0,B8/$B$11)</f>
        <v/>
      </c>
      <c r="D8" s="28">
        <f>SUMIF('NII数据源'!$D$4:$D$39,"金融市场类",'NII数据源'!$N$4:$N$39)</f>
        <v/>
      </c>
      <c r="E8" s="34">
        <f>IF($D$11=0,0,D8/$D$11)</f>
        <v/>
      </c>
      <c r="F8" s="38">
        <f>IF(B8=0,0,D8/B8)</f>
        <v/>
      </c>
      <c r="G8" s="38">
        <f>IF($B$11=0,0,B8/$B$11*F8)</f>
        <v/>
      </c>
      <c r="H8" s="38">
        <f>IF($B$11=0,0,B8/$B$11*$B$27)</f>
        <v/>
      </c>
      <c r="I8" s="44" t="inlineStr">
        <is>
          <t>同业资产/准备金/结构化融资，利率随货币市场波动</t>
        </is>
      </c>
    </row>
    <row r="9">
      <c r="A9" s="27" t="inlineStr">
        <is>
          <t>非生息资产</t>
        </is>
      </c>
      <c r="B9" s="28">
        <f>SUMIF('NII数据源'!$D$4:$D$39,"非生息资产",'NII数据源'!$J$4:$J$39)</f>
        <v/>
      </c>
      <c r="C9" s="34">
        <f>IF($B$11=0,0,B9/$B$11)</f>
        <v/>
      </c>
      <c r="D9" s="28">
        <f>SUMIF('NII数据源'!$D$4:$D$39,"非生息资产",'NII数据源'!$N$4:$N$39)</f>
        <v/>
      </c>
      <c r="E9" s="34">
        <f>IF($D$11=0,0,D9/$D$11)</f>
        <v/>
      </c>
      <c r="F9" s="38">
        <f>IF(B9=0,0,D9/B9)</f>
        <v/>
      </c>
      <c r="G9" s="38">
        <f>IF($B$11=0,0,B9/$B$11*F9)</f>
        <v/>
      </c>
      <c r="H9" s="38">
        <f>IF($B$11=0,0,B9/$B$11*$B$27)</f>
        <v/>
      </c>
      <c r="I9" s="44" t="inlineStr">
        <is>
          <t>FVTPL/现金/其它，利率 0%，已从 NII 计量中剔除</t>
        </is>
      </c>
    </row>
    <row r="10">
      <c r="A10" s="27" t="inlineStr">
        <is>
          <t>外币资产</t>
        </is>
      </c>
      <c r="B10" s="28">
        <f>SUMIF('NII数据源'!$D$4:$D$39,"外币资产",'NII数据源'!$J$4:$J$39)</f>
        <v/>
      </c>
      <c r="C10" s="34">
        <f>IF($B$11=0,0,B10/$B$11)</f>
        <v/>
      </c>
      <c r="D10" s="28">
        <f>SUMIF('NII数据源'!$D$4:$D$39,"外币资产",'NII数据源'!$N$4:$N$39)</f>
        <v/>
      </c>
      <c r="E10" s="34">
        <f>IF($D$11=0,0,D10/$D$11)</f>
        <v/>
      </c>
      <c r="F10" s="38">
        <f>IF(B10=0,0,D10/B10)</f>
        <v/>
      </c>
      <c r="G10" s="38">
        <f>IF($B$11=0,0,B10/$B$11*F10)</f>
        <v/>
      </c>
      <c r="H10" s="38">
        <f>IF($B$11=0,0,B10/$B$11*$B$27)</f>
        <v/>
      </c>
      <c r="I10" s="44" t="inlineStr">
        <is>
          <t>外币折人民币计价，受汇率与境外利率双重影响</t>
        </is>
      </c>
    </row>
    <row r="11">
      <c r="A11" s="13" t="inlineStr">
        <is>
          <t>资产端合计</t>
        </is>
      </c>
      <c r="B11" s="14">
        <f>SUM(B6:B10)</f>
        <v/>
      </c>
      <c r="C11" s="12" t="n"/>
      <c r="D11" s="14">
        <f>SUM(D6:D10)</f>
        <v/>
      </c>
      <c r="E11" s="12" t="n"/>
      <c r="F11" s="12" t="n"/>
      <c r="G11" s="12" t="n"/>
      <c r="H11" s="12" t="n"/>
      <c r="I11" s="12" t="n"/>
    </row>
    <row r="13">
      <c r="A13" s="18" t="inlineStr">
        <is>
          <t>【二】按业务条线拆解 —— 负债端</t>
        </is>
      </c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 ht="34" customHeight="1">
      <c r="A14" s="3" t="inlineStr">
        <is>
          <t>业务条线</t>
        </is>
      </c>
      <c r="B14" s="3" t="inlineStr">
        <is>
          <t>平均余额
(亿元)</t>
        </is>
      </c>
      <c r="C14" s="3" t="inlineStr">
        <is>
          <t>余额占比</t>
        </is>
      </c>
      <c r="D14" s="3" t="inlineStr">
        <is>
          <t>利息支出
(亿元)</t>
        </is>
      </c>
      <c r="E14" s="3" t="inlineStr">
        <is>
          <t>利息占比</t>
        </is>
      </c>
      <c r="F14" s="3" t="inlineStr">
        <is>
          <t>综合成本率</t>
        </is>
      </c>
      <c r="G14" s="3" t="inlineStr">
        <is>
          <t>余额贡献
(百分点)</t>
        </is>
      </c>
      <c r="H14" s="3" t="inlineStr">
        <is>
          <t>利息贡献
(百分点)</t>
        </is>
      </c>
      <c r="I14" s="3" t="inlineStr">
        <is>
          <t>说明</t>
        </is>
      </c>
    </row>
    <row r="15">
      <c r="A15" s="27" t="inlineStr">
        <is>
          <t>存款类</t>
        </is>
      </c>
      <c r="B15" s="28">
        <f>SUMIF('NII数据源'!$D$4:$D$39,"存款类",'NII数据源'!$J$4:$J$39)</f>
        <v/>
      </c>
      <c r="C15" s="45">
        <f>IF($B$19=0,0,B15/$B$19)</f>
        <v/>
      </c>
      <c r="D15" s="33">
        <f>SUMIF('NII数据源'!$D$4:$D$39,"存款类",'NII数据源'!$O$4:$O$39)</f>
        <v/>
      </c>
      <c r="E15" s="45">
        <f>IF($D$19=0,0,D15/$D$19)</f>
        <v/>
      </c>
      <c r="F15" s="46">
        <f>IF(B15=0,0,D15/B15)</f>
        <v/>
      </c>
      <c r="G15" s="46">
        <f>IF($B$19=0,0,B15/$B$19*F15)</f>
        <v/>
      </c>
      <c r="H15" s="46">
        <f>IF($B$19=0,0,B15/$B$19*$B$28)</f>
        <v/>
      </c>
      <c r="I15" s="29" t="inlineStr">
        <is>
          <t>最大负债来源，活期占比高是成本率低的关键</t>
        </is>
      </c>
    </row>
    <row r="16">
      <c r="A16" s="27" t="inlineStr">
        <is>
          <t>同业负债</t>
        </is>
      </c>
      <c r="B16" s="28">
        <f>SUMIF('NII数据源'!$D$4:$D$39,"同业负债",'NII数据源'!$J$4:$J$39)</f>
        <v/>
      </c>
      <c r="C16" s="45">
        <f>IF($B$19=0,0,B16/$B$19)</f>
        <v/>
      </c>
      <c r="D16" s="33">
        <f>SUMIF('NII数据源'!$D$4:$D$39,"同业负债",'NII数据源'!$O$4:$O$39)</f>
        <v/>
      </c>
      <c r="E16" s="45">
        <f>IF($D$19=0,0,D16/$D$19)</f>
        <v/>
      </c>
      <c r="F16" s="46">
        <f>IF(B16=0,0,D16/B16)</f>
        <v/>
      </c>
      <c r="G16" s="46">
        <f>IF($B$19=0,0,B16/$B$19*F16)</f>
        <v/>
      </c>
      <c r="H16" s="46">
        <f>IF($B$19=0,0,B16/$B$19*$B$28)</f>
        <v/>
      </c>
      <c r="I16" s="29" t="inlineStr">
        <is>
          <t>市场化定价，重定价 β 接近 1，利率敏感度高</t>
        </is>
      </c>
    </row>
    <row r="17">
      <c r="A17" s="27" t="inlineStr">
        <is>
          <t>央行借款</t>
        </is>
      </c>
      <c r="B17" s="28">
        <f>SUMIF('NII数据源'!$D$4:$D$39,"央行借款",'NII数据源'!$J$4:$J$39)</f>
        <v/>
      </c>
      <c r="C17" s="45">
        <f>IF($B$19=0,0,B17/$B$19)</f>
        <v/>
      </c>
      <c r="D17" s="33">
        <f>SUMIF('NII数据源'!$D$4:$D$39,"央行借款",'NII数据源'!$O$4:$O$39)</f>
        <v/>
      </c>
      <c r="E17" s="45">
        <f>IF($D$19=0,0,D17/$D$19)</f>
        <v/>
      </c>
      <c r="F17" s="46">
        <f>IF(B17=0,0,D17/B17)</f>
        <v/>
      </c>
      <c r="G17" s="46">
        <f>IF($B$19=0,0,B17/$B$19*F17)</f>
        <v/>
      </c>
      <c r="H17" s="46">
        <f>IF($B$19=0,0,B17/$B$19*$B$28)</f>
        <v/>
      </c>
      <c r="I17" s="29" t="inlineStr">
        <is>
          <t>政策工具，成本由政策利率决定，主动性可控</t>
        </is>
      </c>
    </row>
    <row r="18">
      <c r="A18" s="27" t="inlineStr">
        <is>
          <t>外币负债</t>
        </is>
      </c>
      <c r="B18" s="28">
        <f>SUMIF('NII数据源'!$D$4:$D$39,"外币负债",'NII数据源'!$J$4:$J$39)</f>
        <v/>
      </c>
      <c r="C18" s="45">
        <f>IF($B$19=0,0,B18/$B$19)</f>
        <v/>
      </c>
      <c r="D18" s="33">
        <f>SUMIF('NII数据源'!$D$4:$D$39,"外币负债",'NII数据源'!$O$4:$O$39)</f>
        <v/>
      </c>
      <c r="E18" s="45">
        <f>IF($D$19=0,0,D18/$D$19)</f>
        <v/>
      </c>
      <c r="F18" s="46">
        <f>IF(B18=0,0,D18/B18)</f>
        <v/>
      </c>
      <c r="G18" s="46">
        <f>IF($B$19=0,0,B18/$B$19*F18)</f>
        <v/>
      </c>
      <c r="H18" s="46">
        <f>IF($B$19=0,0,B18/$B$19*$B$28)</f>
        <v/>
      </c>
      <c r="I18" s="29" t="inlineStr">
        <is>
          <t>外币折人民币，受汇率折算影响</t>
        </is>
      </c>
    </row>
    <row r="19">
      <c r="A19" s="13" t="inlineStr">
        <is>
          <t>负债端合计</t>
        </is>
      </c>
      <c r="B19" s="14">
        <f>SUM(B15:B18)</f>
        <v/>
      </c>
      <c r="C19" s="12" t="n"/>
      <c r="D19" s="14">
        <f>SUM(D15:D18)</f>
        <v/>
      </c>
      <c r="E19" s="12" t="n"/>
      <c r="F19" s="12" t="n"/>
      <c r="G19" s="12" t="n"/>
      <c r="H19" s="12" t="n"/>
      <c r="I19" s="12" t="n"/>
    </row>
    <row r="21">
      <c r="A21" s="18" t="inlineStr">
        <is>
          <t>【三】按币种拆解</t>
        </is>
      </c>
      <c r="B21" s="20" t="n"/>
      <c r="C21" s="20" t="n"/>
      <c r="D21" s="20" t="n"/>
      <c r="E21" s="20" t="n"/>
      <c r="F21" s="20" t="n"/>
      <c r="G21" s="20" t="n"/>
      <c r="H21" s="20" t="n"/>
      <c r="I21" s="20" t="n"/>
    </row>
    <row r="22" ht="34" customHeight="1">
      <c r="A22" s="3" t="inlineStr">
        <is>
          <t>币种 / 方向</t>
        </is>
      </c>
      <c r="B22" s="3" t="inlineStr">
        <is>
          <t>平均余额
(亿元)</t>
        </is>
      </c>
      <c r="C22" s="3" t="inlineStr">
        <is>
          <t>余额占比</t>
        </is>
      </c>
      <c r="D22" s="3" t="inlineStr">
        <is>
          <t>利息金额
(亿元)</t>
        </is>
      </c>
      <c r="E22" s="3" t="inlineStr">
        <is>
          <t>利息占比</t>
        </is>
      </c>
      <c r="F22" s="3" t="inlineStr">
        <is>
          <t>综合利率</t>
        </is>
      </c>
      <c r="G22" s="3" t="inlineStr">
        <is>
          <t>—</t>
        </is>
      </c>
      <c r="H22" s="3" t="inlineStr">
        <is>
          <t>—</t>
        </is>
      </c>
      <c r="I22" s="3" t="inlineStr">
        <is>
          <t>说明</t>
        </is>
      </c>
    </row>
    <row r="23">
      <c r="A23" s="27" t="inlineStr">
        <is>
          <t>人民币·资产</t>
        </is>
      </c>
      <c r="B23" s="28">
        <f>SUMPRODUCT(('NII数据源'!$G$4:$G$39="人民币")*('NII数据源'!$C$4:$C$39="资产")*'NII数据源'!$J$4:$J$39)</f>
        <v/>
      </c>
      <c r="C23" s="34">
        <f>IF(SUM('NII数据源'!$J$4:$J$39)=0,0,B23/SUM('NII数据源'!$J$4:$J$39))</f>
        <v/>
      </c>
      <c r="D23" s="28">
        <f>SUMPRODUCT(('NII数据源'!$G$4:$G$39="人民币")*('NII数据源'!$C$4:$C$39="资产")*'NII数据源'!$N$4:$N$39)</f>
        <v/>
      </c>
      <c r="E23" s="34">
        <f>IF(SUM('NII数据源'!$N$4:$N$39)+SUM('NII数据源'!$O$4:$O$39)=0,0,D23/(SUM('NII数据源'!$N$4:$N$39)+SUM('NII数据源'!$O$4:$O$39)))</f>
        <v/>
      </c>
      <c r="F23" s="38">
        <f>IF(B23=0,0,D23/B23)</f>
        <v/>
      </c>
      <c r="G23" s="26" t="n"/>
      <c r="H23" s="26" t="n"/>
      <c r="I23" s="29" t="inlineStr">
        <is>
          <t>人民币计价资产</t>
        </is>
      </c>
    </row>
    <row r="24">
      <c r="A24" s="27" t="inlineStr">
        <is>
          <t>人民币·负债</t>
        </is>
      </c>
      <c r="B24" s="28">
        <f>SUMPRODUCT(('NII数据源'!$G$4:$G$39="人民币")*('NII数据源'!$C$4:$C$39="负债")*'NII数据源'!$J$4:$J$39)</f>
        <v/>
      </c>
      <c r="C24" s="34">
        <f>IF(SUM('NII数据源'!$J$4:$J$39)=0,0,B24/SUM('NII数据源'!$J$4:$J$39))</f>
        <v/>
      </c>
      <c r="D24" s="28">
        <f>SUMPRODUCT(('NII数据源'!$G$4:$G$39="人民币")*('NII数据源'!$C$4:$C$39="负债")*'NII数据源'!$O$4:$O$39)</f>
        <v/>
      </c>
      <c r="E24" s="34">
        <f>IF(SUM('NII数据源'!$N$4:$N$39)+SUM('NII数据源'!$O$4:$O$39)=0,0,D24/(SUM('NII数据源'!$N$4:$N$39)+SUM('NII数据源'!$O$4:$O$39)))</f>
        <v/>
      </c>
      <c r="F24" s="38">
        <f>IF(B24=0,0,D24/B24)</f>
        <v/>
      </c>
      <c r="G24" s="26" t="n"/>
      <c r="H24" s="26" t="n"/>
      <c r="I24" s="29" t="inlineStr">
        <is>
          <t>人民币计价负债</t>
        </is>
      </c>
    </row>
    <row r="25">
      <c r="A25" s="27" t="inlineStr">
        <is>
          <t>外币·资产</t>
        </is>
      </c>
      <c r="B25" s="28">
        <f>SUMPRODUCT(('NII数据源'!$G$4:$G$39="外币")*('NII数据源'!$C$4:$C$39="资产")*'NII数据源'!$J$4:$J$39)</f>
        <v/>
      </c>
      <c r="C25" s="34">
        <f>IF(SUM('NII数据源'!$J$4:$J$39)=0,0,B25/SUM('NII数据源'!$J$4:$J$39))</f>
        <v/>
      </c>
      <c r="D25" s="28">
        <f>SUMPRODUCT(('NII数据源'!$G$4:$G$39="外币")*('NII数据源'!$C$4:$C$39="资产")*'NII数据源'!$N$4:$N$39)</f>
        <v/>
      </c>
      <c r="E25" s="34">
        <f>IF(SUM('NII数据源'!$N$4:$N$39)+SUM('NII数据源'!$O$4:$O$39)=0,0,D25/(SUM('NII数据源'!$N$4:$N$39)+SUM('NII数据源'!$O$4:$O$39)))</f>
        <v/>
      </c>
      <c r="F25" s="38">
        <f>IF(B25=0,0,D25/B25)</f>
        <v/>
      </c>
      <c r="G25" s="26" t="n"/>
      <c r="H25" s="26" t="n"/>
      <c r="I25" s="29" t="inlineStr">
        <is>
          <t>外币折人民币资产</t>
        </is>
      </c>
    </row>
    <row r="26">
      <c r="A26" s="27" t="inlineStr">
        <is>
          <t>外币·负债</t>
        </is>
      </c>
      <c r="B26" s="28">
        <f>SUMPRODUCT(('NII数据源'!$G$4:$G$39="外币")*('NII数据源'!$C$4:$C$39="负债")*'NII数据源'!$J$4:$J$39)</f>
        <v/>
      </c>
      <c r="C26" s="34">
        <f>IF(SUM('NII数据源'!$J$4:$J$39)=0,0,B26/SUM('NII数据源'!$J$4:$J$39))</f>
        <v/>
      </c>
      <c r="D26" s="28">
        <f>SUMPRODUCT(('NII数据源'!$G$4:$G$39="外币")*('NII数据源'!$C$4:$C$39="负债")*'NII数据源'!$O$4:$O$39)</f>
        <v/>
      </c>
      <c r="E26" s="34">
        <f>IF(SUM('NII数据源'!$N$4:$N$39)+SUM('NII数据源'!$O$4:$O$39)=0,0,D26/(SUM('NII数据源'!$N$4:$N$39)+SUM('NII数据源'!$O$4:$O$39)))</f>
        <v/>
      </c>
      <c r="F26" s="38">
        <f>IF(B26=0,0,D26/B26)</f>
        <v/>
      </c>
      <c r="G26" s="26" t="n"/>
      <c r="H26" s="26" t="n"/>
      <c r="I26" s="29" t="inlineStr">
        <is>
          <t>外币折人民币负债</t>
        </is>
      </c>
    </row>
    <row r="27">
      <c r="A27" s="16" t="inlineStr">
        <is>
          <t>人民币净利息收入</t>
        </is>
      </c>
      <c r="B27" s="12" t="n"/>
      <c r="C27" s="12" t="n"/>
      <c r="D27" s="47">
        <f>D23-D24</f>
        <v/>
      </c>
      <c r="E27" s="12" t="n"/>
      <c r="F27" s="12" t="n"/>
      <c r="G27" s="12" t="n"/>
      <c r="H27" s="12" t="n"/>
      <c r="I27" s="16" t="inlineStr">
        <is>
          <t>人民币 NII = 人民币利息收入 − 人民币利息支出</t>
        </is>
      </c>
    </row>
    <row r="28">
      <c r="A28" s="16" t="inlineStr">
        <is>
          <t>外币净利息收入</t>
        </is>
      </c>
      <c r="B28" s="12" t="n"/>
      <c r="C28" s="12" t="n"/>
      <c r="D28" s="47">
        <f>D25-D26</f>
        <v/>
      </c>
      <c r="E28" s="12" t="n"/>
      <c r="F28" s="12" t="n"/>
      <c r="G28" s="12" t="n"/>
      <c r="H28" s="12" t="n"/>
      <c r="I28" s="16" t="inlineStr">
        <is>
          <t>外币 NII = 外币利息收入 − 外币利息支出</t>
        </is>
      </c>
    </row>
    <row r="29">
      <c r="A29" s="16" t="inlineStr">
        <is>
          <t>NII 合计校验（应 = NII计量表 主口径）</t>
        </is>
      </c>
      <c r="B29" s="12" t="n"/>
      <c r="C29" s="12" t="n"/>
      <c r="D29" s="47">
        <f>SUM(D27:D28)-'NII计量表'!B22</f>
        <v/>
      </c>
      <c r="E29" s="12" t="n"/>
      <c r="F29" s="12" t="n"/>
      <c r="G29" s="12" t="n"/>
      <c r="H29" s="12" t="n"/>
      <c r="I29" s="16" t="inlineStr">
        <is>
          <t>差额应为 0，证明币种维度与总表完全勾稽</t>
        </is>
      </c>
    </row>
    <row r="31">
      <c r="A31" s="18" t="inlineStr">
        <is>
          <t>【四】按账户类型拆解 —— 活期/定期结构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</row>
    <row r="32" ht="34" customHeight="1">
      <c r="A32" s="3" t="inlineStr">
        <is>
          <t>账户类型</t>
        </is>
      </c>
      <c r="B32" s="3" t="inlineStr">
        <is>
          <t>平均余额
(亿元)</t>
        </is>
      </c>
      <c r="C32" s="3" t="inlineStr">
        <is>
          <t>余额占比</t>
        </is>
      </c>
      <c r="D32" s="3" t="inlineStr">
        <is>
          <t>利息金额
(亿元)</t>
        </is>
      </c>
      <c r="E32" s="3" t="inlineStr">
        <is>
          <t>利息占比</t>
        </is>
      </c>
      <c r="F32" s="3" t="inlineStr">
        <is>
          <t>综合利率</t>
        </is>
      </c>
      <c r="G32" s="3" t="inlineStr">
        <is>
          <t>—</t>
        </is>
      </c>
      <c r="H32" s="3" t="inlineStr">
        <is>
          <t>—</t>
        </is>
      </c>
      <c r="I32" s="3" t="inlineStr">
        <is>
          <t>说明</t>
        </is>
      </c>
    </row>
    <row r="33">
      <c r="A33" s="27" t="inlineStr">
        <is>
          <t>活期类存款（对公+零售）</t>
        </is>
      </c>
      <c r="B33" s="28">
        <f>SUMIF('NII数据源'!$F$4:$F$39,"活期",'NII数据源'!$J$4:$J$39)</f>
        <v/>
      </c>
      <c r="C33" s="48">
        <f>IF(SUMIF('NII数据源'!$D$4:$D$39,"存款类",'NII数据源'!$J$4:$J$39)=0,0,B33/SUMIF('NII数据源'!$D$4:$D$39,"存款类",'NII数据源'!$J$4:$J$39))</f>
        <v/>
      </c>
      <c r="D33" s="28">
        <f>SUMIF('NII数据源'!$F$4:$F$39,"活期",'NII数据源'!$O$4:$O$39)</f>
        <v/>
      </c>
      <c r="E33" s="34">
        <f>IF(SUM('NII数据源'!$N$4:$N$39)+SUM('NII数据源'!$O$4:$O$39)=0,0,D33/(SUM('NII数据源'!$N$4:$N$39)+SUM('NII数据源'!$O$4:$O$39)))</f>
        <v/>
      </c>
      <c r="F33" s="38">
        <f>IF(B33=0,0,D33/B33)</f>
        <v/>
      </c>
      <c r="G33" s="26" t="n"/>
      <c r="H33" s="26" t="n"/>
      <c r="I33" s="29" t="inlineStr">
        <is>
          <t>活期存款付息成本极低，是存款成本管控的核心抓手</t>
        </is>
      </c>
    </row>
    <row r="34">
      <c r="A34" s="27" t="inlineStr">
        <is>
          <t>定期类存款（对公+零售）</t>
        </is>
      </c>
      <c r="B34" s="28">
        <f>SUMIF('NII数据源'!$F$4:$F$39,"定期",'NII数据源'!$J$4:$J$39)</f>
        <v/>
      </c>
      <c r="C34" s="48">
        <f>IF(SUMIF('NII数据源'!$D$4:$D$39,"存款类",'NII数据源'!$J$4:$J$39)=0,0,B34/SUMIF('NII数据源'!$D$4:$D$39,"存款类",'NII数据源'!$J$4:$J$39))</f>
        <v/>
      </c>
      <c r="D34" s="28">
        <f>SUMIF('NII数据源'!$F$4:$F$39,"定期",'NII数据源'!$O$4:$O$39)</f>
        <v/>
      </c>
      <c r="E34" s="34">
        <f>IF(SUM('NII数据源'!$N$4:$N$39)+SUM('NII数据源'!$O$4:$O$39)=0,0,D34/(SUM('NII数据源'!$N$4:$N$39)+SUM('NII数据源'!$O$4:$O$39)))</f>
        <v/>
      </c>
      <c r="F34" s="38">
        <f>IF(B34=0,0,D34/B34)</f>
        <v/>
      </c>
      <c r="G34" s="26" t="n"/>
      <c r="H34" s="26" t="n"/>
      <c r="I34" s="29" t="inlineStr">
        <is>
          <t>定期存款占比上升将直接推高负债成本率</t>
        </is>
      </c>
    </row>
    <row r="35">
      <c r="A35" s="27" t="inlineStr">
        <is>
          <t>信贷类资产（贷款 5 项）</t>
        </is>
      </c>
      <c r="B35" s="28">
        <f>SUMIF('NII数据源'!$F$4:$F$39,"信贷",'NII数据源'!$J$4:$J$39)</f>
        <v/>
      </c>
      <c r="C35" s="48">
        <f>IF(SUMIF('NII数据源'!$D$4:$D$39,"贷款类",'NII数据源'!$J$4:$J$39)=0,0,B35/SUMIF('NII数据源'!$D$4:$D$39,"贷款类",'NII数据源'!$J$4:$J$39))</f>
        <v/>
      </c>
      <c r="D35" s="28">
        <f>SUMIF('NII数据源'!$F$4:$F$39,"信贷",'NII数据源'!$N$4:$N$39)</f>
        <v/>
      </c>
      <c r="E35" s="34">
        <f>IF(SUM('NII数据源'!$N$4:$N$39)+SUM('NII数据源'!$O$4:$O$39)=0,0,D35/(SUM('NII数据源'!$N$4:$N$39)+SUM('NII数据源'!$O$4:$O$39)))</f>
        <v/>
      </c>
      <c r="F35" s="38">
        <f>IF(B35=0,0,D35/B35)</f>
        <v/>
      </c>
      <c r="G35" s="26" t="n"/>
      <c r="H35" s="26" t="n"/>
      <c r="I35" s="29" t="inlineStr">
        <is>
          <t>贷款类资产平均余额，资产端规模主体</t>
        </is>
      </c>
    </row>
    <row r="36">
      <c r="A36" s="27" t="inlineStr">
        <is>
          <t>非息类资产（FVTPL/现金/其它）</t>
        </is>
      </c>
      <c r="B36" s="28">
        <f>SUMIF('NII数据源'!$F$4:$F$39,"非息",'NII数据源'!$J$4:$J$39)</f>
        <v/>
      </c>
      <c r="C36" s="48">
        <f>IF(SUMIF('NII数据源'!$D$4:$D$39,"贷款类",'NII数据源'!$J$4:$J$39)=0,0,B36/SUMIF('NII数据源'!$D$4:$D$39,"贷款类",'NII数据源'!$J$4:$J$39))</f>
        <v/>
      </c>
      <c r="D36" s="28">
        <f>SUMIF('NII数据源'!$F$4:$F$39,"非息",'NII数据源'!$N$4:$N$39)</f>
        <v/>
      </c>
      <c r="E36" s="34">
        <f>IF(SUM('NII数据源'!$N$4:$N$39)+SUM('NII数据源'!$O$4:$O$39)=0,0,D36/(SUM('NII数据源'!$N$4:$N$39)+SUM('NII数据源'!$O$4:$O$39)))</f>
        <v/>
      </c>
      <c r="F36" s="38">
        <f>IF(B36=0,0,D36/B36)</f>
        <v/>
      </c>
      <c r="G36" s="26" t="n"/>
      <c r="H36" s="26" t="n"/>
      <c r="I36" s="29" t="inlineStr">
        <is>
          <t>利率 0%，不产生利息收入，仅作规模对照</t>
        </is>
      </c>
    </row>
    <row r="37">
      <c r="A37" s="35" t="inlineStr">
        <is>
          <t>存款活期化率（活期 ÷ 存款合计）</t>
        </is>
      </c>
      <c r="B37" s="49">
        <f>IF(SUMIF('NII数据源'!$D$4:$D$39,"存款类",'NII数据源'!$J$4:$J$39)=0,0,B33/SUMIF('NII数据源'!$D$4:$D$39,"存款类",'NII数据源'!$J$4:$J$39))</f>
        <v/>
      </c>
      <c r="C37" s="37" t="n"/>
      <c r="D37" s="37" t="n"/>
      <c r="E37" s="37" t="n"/>
      <c r="F37" s="37" t="n"/>
      <c r="G37" s="37" t="n"/>
      <c r="H37" s="37" t="n"/>
      <c r="I37" s="35" t="inlineStr">
        <is>
          <t>活期化率越高 → 计息负债成本率越低 → NIM 越高</t>
        </is>
      </c>
    </row>
    <row r="38">
      <c r="A38" s="16" t="inlineStr">
        <is>
          <t>存款校验：活期 + 定期 = 存款类合计</t>
        </is>
      </c>
      <c r="B38" s="47">
        <f>ROUND(B33+B34-SUMIF('NII数据源'!$D$4:$D$39,"存款类",'NII数据源'!$J$4:$J$39),6)</f>
        <v/>
      </c>
      <c r="C38" s="12" t="n"/>
      <c r="D38" s="12" t="n"/>
      <c r="E38" s="12" t="n"/>
      <c r="F38" s="12" t="n"/>
      <c r="G38" s="12" t="n"/>
      <c r="H38" s="12" t="n"/>
      <c r="I38" s="16" t="inlineStr">
        <is>
          <t>差额应为 0</t>
        </is>
      </c>
    </row>
    <row r="39">
      <c r="A39" s="39" t="inlineStr">
        <is>
          <t>定期存款占比（定期 ÷ 存款合计）</t>
        </is>
      </c>
      <c r="B39" s="50">
        <f>IF(SUMIF('NII数据源'!$D$4:$D$39,"存款类",'NII数据源'!$J$4:$J$39)=0,0,B34/SUMIF('NII数据源'!$D$4:$D$39,"存款类",'NII数据源'!$J$4:$J$39))</f>
        <v/>
      </c>
      <c r="C39" s="26" t="n"/>
      <c r="D39" s="26" t="n"/>
      <c r="E39" s="26" t="n"/>
      <c r="F39" s="26" t="n"/>
      <c r="G39" s="26" t="n"/>
      <c r="H39" s="26" t="n"/>
      <c r="I39" s="39" t="inlineStr">
        <is>
          <t>定期占比越高 → 负债成本率越高 → NIM 越低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7" customWidth="1" min="3" max="3"/>
    <col width="17" customWidth="1" min="4" max="4"/>
    <col width="17" customWidth="1" min="5" max="5"/>
    <col width="15" customWidth="1" min="6" max="6"/>
    <col width="13" customWidth="1" min="7" max="7"/>
    <col width="13" customWidth="1" min="8" max="8"/>
    <col width="40" customWidth="1" min="9" max="9"/>
  </cols>
  <sheetData>
    <row r="1">
      <c r="A1" s="1" t="inlineStr">
        <is>
          <t>NII 情景敏感性分析 (NII Scenario Sensitivity) — 利率平行移动冲击</t>
        </is>
      </c>
    </row>
    <row r="2">
      <c r="A2" s="2" t="inlineStr">
        <is>
          <t>ΔNII = −Δr × (Σ 资产余额×β − Σ 负债余额×β)  |  重定价敞口由 SUMPRODUCT(平均余额, 重定价β) 计算，直接引用「NII数据源」  |  单位：亿元</t>
        </is>
      </c>
    </row>
    <row r="4">
      <c r="A4" s="18" t="inlineStr">
        <is>
          <t>【一】重定价敞口计算（核心驱动量）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</row>
    <row r="5">
      <c r="A5" s="27" t="inlineStr">
        <is>
          <t>有效生息资产重定价敞口 A_β = Σ(平均余额 × 重定价β)</t>
        </is>
      </c>
      <c r="B5" s="26" t="n"/>
      <c r="C5" s="28">
        <f>SUMPRODUCT(('NII数据源'!$C$4:$C$39="资产")*('NII数据源'!$K$4:$K$39&gt;0)*'NII数据源'!$J$4:$J$39,'NII数据源'!$M$4:$M$39)</f>
        <v/>
      </c>
      <c r="D5" s="29" t="inlineStr">
        <is>
          <t>亿元</t>
        </is>
      </c>
      <c r="E5" s="26" t="n"/>
      <c r="F5" s="26" t="n"/>
      <c r="G5" s="26" t="n"/>
      <c r="H5" s="26" t="n"/>
      <c r="I5" s="29" t="inlineStr">
        <is>
          <t>1 年内可重定价的生息资产规模（利率 &gt; 0）</t>
        </is>
      </c>
    </row>
    <row r="6">
      <c r="A6" s="27" t="inlineStr">
        <is>
          <t>其中：贷款类 A_β</t>
        </is>
      </c>
      <c r="B6" s="26" t="n"/>
      <c r="C6" s="28">
        <f>SUMPRODUCT(('NII数据源'!$D$4:$D$39="贷款类")*'NII数据源'!$J$4:$J$39,'NII数据源'!$M$4:$M$39)</f>
        <v/>
      </c>
      <c r="D6" s="29" t="inlineStr">
        <is>
          <t>亿元</t>
        </is>
      </c>
      <c r="E6" s="26" t="n"/>
      <c r="F6" s="26" t="n"/>
      <c r="G6" s="26" t="n"/>
      <c r="H6" s="26" t="n"/>
      <c r="I6" s="29" t="inlineStr">
        <is>
          <t>贷款重定价较慢，β 约 0.6~0.9</t>
        </is>
      </c>
    </row>
    <row r="7">
      <c r="A7" s="27" t="inlineStr">
        <is>
          <t>其中：债券投资类 A_β</t>
        </is>
      </c>
      <c r="B7" s="26" t="n"/>
      <c r="C7" s="28">
        <f>SUMPRODUCT(('NII数据源'!$D$4:$D$39="债券投资类")*('NII数据源'!$K$4:$K$39&gt;0)*'NII数据源'!$J$4:$J$39,'NII数据源'!$M$4:$M$39)</f>
        <v/>
      </c>
      <c r="D7" s="29" t="inlineStr">
        <is>
          <t>亿元</t>
        </is>
      </c>
      <c r="E7" s="26" t="n"/>
      <c r="F7" s="26" t="n"/>
      <c r="G7" s="26" t="n"/>
      <c r="H7" s="26" t="n"/>
      <c r="I7" s="29" t="inlineStr">
        <is>
          <t>债券票息重定价滞后，β 约 0.5</t>
        </is>
      </c>
    </row>
    <row r="8">
      <c r="A8" s="27" t="inlineStr">
        <is>
          <t>其中：金融市场类 A_β</t>
        </is>
      </c>
      <c r="B8" s="26" t="n"/>
      <c r="C8" s="28">
        <f>SUMPRODUCT(('NII数据源'!$D$4:$D$39="金融市场类")*'NII数据源'!$J$4:$J$39,'NII数据源'!$M$4:$M$39)</f>
        <v/>
      </c>
      <c r="D8" s="29" t="inlineStr">
        <is>
          <t>亿元</t>
        </is>
      </c>
      <c r="E8" s="26" t="n"/>
      <c r="F8" s="26" t="n"/>
      <c r="G8" s="26" t="n"/>
      <c r="H8" s="26" t="n"/>
      <c r="I8" s="29" t="inlineStr">
        <is>
          <t>同业/准备金随货币市场波动，β 约 0.85~0.95</t>
        </is>
      </c>
    </row>
    <row r="9">
      <c r="A9" s="27" t="inlineStr">
        <is>
          <t>其中：外币资产 A_β</t>
        </is>
      </c>
      <c r="B9" s="26" t="n"/>
      <c r="C9" s="28">
        <f>SUMPRODUCT(('NII数据源'!$D$4:$D$39="外币资产")*('NII数据源'!$K$4:$K$39&gt;0)*'NII数据源'!$J$4:$J$39,'NII数据源'!$M$4:$M$39)</f>
        <v/>
      </c>
      <c r="D9" s="29" t="inlineStr">
        <is>
          <t>亿元</t>
        </is>
      </c>
      <c r="E9" s="26" t="n"/>
      <c r="F9" s="26" t="n"/>
      <c r="G9" s="26" t="n"/>
      <c r="H9" s="26" t="n"/>
      <c r="I9" s="29" t="inlineStr">
        <is>
          <t>外币资产折人民币，受境内外双重影响</t>
        </is>
      </c>
    </row>
    <row r="10">
      <c r="A10" s="27" t="inlineStr">
        <is>
          <t>有效计息负债重定价敞口 L_β = Σ(平均余额 × 重定价β)</t>
        </is>
      </c>
      <c r="B10" s="26" t="n"/>
      <c r="C10" s="28">
        <f>SUMPRODUCT(('NII数据源'!$C$4:$C$39="负债")*'NII数据源'!$J$4:$J$39,'NII数据源'!$M$4:$M$39)</f>
        <v/>
      </c>
      <c r="D10" s="29" t="inlineStr">
        <is>
          <t>亿元</t>
        </is>
      </c>
      <c r="E10" s="26" t="n"/>
      <c r="F10" s="26" t="n"/>
      <c r="G10" s="26" t="n"/>
      <c r="H10" s="26" t="n"/>
      <c r="I10" s="29" t="inlineStr">
        <is>
          <t>1 年内可重定价的计息负债规模</t>
        </is>
      </c>
    </row>
    <row r="11">
      <c r="A11" s="27" t="inlineStr">
        <is>
          <t>其中：存款类 L_β</t>
        </is>
      </c>
      <c r="B11" s="26" t="n"/>
      <c r="C11" s="28">
        <f>SUMPRODUCT(('NII数据源'!$D$4:$D$39="存款类")*'NII数据源'!$J$4:$J$39,'NII数据源'!$M$4:$M$39)</f>
        <v/>
      </c>
      <c r="D11" s="29" t="inlineStr">
        <is>
          <t>亿元</t>
        </is>
      </c>
      <c r="E11" s="26" t="n"/>
      <c r="F11" s="26" t="n"/>
      <c r="G11" s="26" t="n"/>
      <c r="H11" s="26" t="n"/>
      <c r="I11" s="29" t="inlineStr">
        <is>
          <t>活期 β 仅 0.25，是负债重定价慢的主因</t>
        </is>
      </c>
    </row>
    <row r="12">
      <c r="A12" s="27" t="inlineStr">
        <is>
          <t>其中：同业负债 L_β</t>
        </is>
      </c>
      <c r="B12" s="26" t="n"/>
      <c r="C12" s="28">
        <f>SUMPRODUCT(('NII数据源'!$D$4:$D$39="同业负债")*'NII数据源'!$J$4:$J$39,'NII数据源'!$M$4:$M$39)</f>
        <v/>
      </c>
      <c r="D12" s="29" t="inlineStr">
        <is>
          <t>亿元</t>
        </is>
      </c>
      <c r="E12" s="26" t="n"/>
      <c r="F12" s="26" t="n"/>
      <c r="G12" s="26" t="n"/>
      <c r="H12" s="26" t="n"/>
      <c r="I12" s="29" t="inlineStr">
        <is>
          <t>市场化定价，β 0.9~0.98，重定价最快</t>
        </is>
      </c>
    </row>
    <row r="13">
      <c r="A13" s="27" t="inlineStr">
        <is>
          <t>其中：央行借款 L_β</t>
        </is>
      </c>
      <c r="B13" s="26" t="n"/>
      <c r="C13" s="28">
        <f>SUMPRODUCT(('NII数据源'!$D$4:$D$39="央行借款")*'NII数据源'!$J$4:$J$39,'NII数据源'!$M$4:$M$39)</f>
        <v/>
      </c>
      <c r="D13" s="29" t="inlineStr">
        <is>
          <t>亿元</t>
        </is>
      </c>
      <c r="E13" s="26" t="n"/>
      <c r="F13" s="26" t="n"/>
      <c r="G13" s="26" t="n"/>
      <c r="H13" s="26" t="n"/>
      <c r="I13" s="29" t="inlineStr">
        <is>
          <t>政策工具，β 0.8~0.95</t>
        </is>
      </c>
    </row>
    <row r="14">
      <c r="A14" s="27" t="inlineStr">
        <is>
          <t>其中：外币负债 L_β</t>
        </is>
      </c>
      <c r="B14" s="26" t="n"/>
      <c r="C14" s="28">
        <f>SUMPRODUCT(('NII数据源'!$D$4:$D$39="外币负债")*'NII数据源'!$J$4:$J$39,'NII数据源'!$M$4:$M$39)</f>
        <v/>
      </c>
      <c r="D14" s="29" t="inlineStr">
        <is>
          <t>亿元</t>
        </is>
      </c>
      <c r="E14" s="26" t="n"/>
      <c r="F14" s="26" t="n"/>
      <c r="G14" s="26" t="n"/>
      <c r="H14" s="26" t="n"/>
      <c r="I14" s="29" t="inlineStr">
        <is>
          <t>外币折人民币负债</t>
        </is>
      </c>
    </row>
    <row r="15">
      <c r="A15" s="35" t="inlineStr">
        <is>
          <t>★ 重定价缺口 RG = A_β − L_β</t>
        </is>
      </c>
      <c r="B15" s="37" t="n"/>
      <c r="C15" s="51">
        <f>C5-C10</f>
        <v/>
      </c>
      <c r="D15" s="42" t="inlineStr">
        <is>
          <t>亿元</t>
        </is>
      </c>
      <c r="E15" s="37" t="n"/>
      <c r="F15" s="37" t="n"/>
      <c r="G15" s="37" t="n"/>
      <c r="H15" s="37" t="n"/>
      <c r="I15" s="42" t="inlineStr">
        <is>
          <t>★ RG &gt; 0 → 利率上行时 NII 受损（正缺口）；RG &lt; 0 → 利率上行时 NII 受益（负缺口）</t>
        </is>
      </c>
    </row>
    <row r="16">
      <c r="A16" s="40" t="inlineStr">
        <is>
          <t>利率每平行上移 10bp 对 NII 的影响</t>
        </is>
      </c>
      <c r="B16" s="37" t="n"/>
      <c r="C16" s="52">
        <f>-C15*0.001</f>
        <v/>
      </c>
      <c r="D16" s="42" t="inlineStr">
        <is>
          <t>亿元</t>
        </is>
      </c>
      <c r="E16" s="37" t="n"/>
      <c r="F16" s="37" t="n"/>
      <c r="G16" s="37" t="n"/>
      <c r="H16" s="37" t="n"/>
      <c r="I16" s="42">
        <f> −RG × 0.001，单位：亿元 NII / 每 10bp</f>
        <v/>
      </c>
    </row>
    <row r="17">
      <c r="A17" s="27" t="inlineStr">
        <is>
          <t>NII 利率弹性（−RG ÷ 平均生息资产）</t>
        </is>
      </c>
      <c r="B17" s="26" t="n"/>
      <c r="C17" s="38">
        <f>IF('NII计量表'!B5=0,0,-C15/'NII计量表'!B5)</f>
        <v/>
      </c>
      <c r="D17" s="29" t="inlineStr">
        <is>
          <t>%</t>
        </is>
      </c>
      <c r="E17" s="26" t="n"/>
      <c r="F17" s="26" t="n"/>
      <c r="G17" s="26" t="n"/>
      <c r="H17" s="26" t="n"/>
      <c r="I17" s="29" t="inlineStr">
        <is>
          <t>ΔNII/NII ÷ Δr，近似为 −RG / 平均生息资产</t>
        </is>
      </c>
    </row>
    <row r="18">
      <c r="A18" s="27" t="inlineStr">
        <is>
          <t>NII 盈亏平衡利率（ΔNII = 0 的临界点）</t>
        </is>
      </c>
      <c r="B18" s="26" t="n"/>
      <c r="C18" s="43">
        <f>IF(C15=0,"无缺口（利率中性）","无解（存在永久敞口）")</f>
        <v/>
      </c>
      <c r="D18" s="29" t="inlineStr"/>
      <c r="E18" s="26" t="n"/>
      <c r="F18" s="26" t="n"/>
      <c r="G18" s="26" t="n"/>
      <c r="H18" s="26" t="n"/>
      <c r="I18" s="29" t="inlineStr">
        <is>
          <t>令 ΔNII = 0 得 −Δr × RG = 0；当 RG ≠ 0 时无解，恒等式不成立即表示永久性敞口</t>
        </is>
      </c>
    </row>
    <row r="20">
      <c r="A20" s="18" t="inlineStr">
        <is>
          <t>【二】利率平行移动情景（以 NII 计量表 主口径为基准）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</row>
    <row r="21" ht="34" customHeight="1">
      <c r="A21" s="3" t="inlineStr">
        <is>
          <t>情景</t>
        </is>
      </c>
      <c r="B21" s="3" t="inlineStr">
        <is>
          <t>Δr (bp)</t>
        </is>
      </c>
      <c r="C21" s="3" t="inlineStr">
        <is>
          <t>Δ利息收入
(亿元)</t>
        </is>
      </c>
      <c r="D21" s="3" t="inlineStr">
        <is>
          <t>Δ利息支出
(亿元)</t>
        </is>
      </c>
      <c r="E21" s="3" t="inlineStr">
        <is>
          <t>ΔNII
(亿元)</t>
        </is>
      </c>
      <c r="F21" s="3" t="inlineStr">
        <is>
          <t>情景后 NII
(亿元)</t>
        </is>
      </c>
      <c r="G21" s="3" t="inlineStr">
        <is>
          <t>ΔNII %</t>
        </is>
      </c>
      <c r="H21" s="3" t="inlineStr">
        <is>
          <t>情景后 NIM</t>
        </is>
      </c>
      <c r="I21" s="3" t="inlineStr">
        <is>
          <t>情景解读</t>
        </is>
      </c>
    </row>
    <row r="22">
      <c r="A22" s="27" t="inlineStr">
        <is>
          <t>利率平行上移 250bp</t>
        </is>
      </c>
      <c r="B22" s="53" t="n">
        <v>250</v>
      </c>
      <c r="C22" s="28">
        <f>-$B$22/10000*$C$5</f>
        <v/>
      </c>
      <c r="D22" s="33">
        <f>-$B$22/10000*$C$10</f>
        <v/>
      </c>
      <c r="E22" s="28">
        <f>C22-D22</f>
        <v/>
      </c>
      <c r="F22" s="28">
        <f>'NII计量表'!B22+E22</f>
        <v/>
      </c>
      <c r="G22" s="34">
        <f>IF('NII计量表'!B22=0,0,E22/'NII计量表'!B22)</f>
        <v/>
      </c>
      <c r="H22" s="38">
        <f>IF('NII计量表'!B5=0,0,F22/'NII计量表'!B5)</f>
        <v/>
      </c>
      <c r="I22" s="29" t="inlineStr">
        <is>
          <t>大幅加息：负债端市场化成本快速上行，NII 承压最重</t>
        </is>
      </c>
    </row>
    <row r="23">
      <c r="A23" s="27" t="inlineStr">
        <is>
          <t>利率平行上移 100bp</t>
        </is>
      </c>
      <c r="B23" s="53" t="n">
        <v>100</v>
      </c>
      <c r="C23" s="28">
        <f>-$B$23/10000*$C$5</f>
        <v/>
      </c>
      <c r="D23" s="33">
        <f>-$B$23/10000*$C$10</f>
        <v/>
      </c>
      <c r="E23" s="28">
        <f>C23-D23</f>
        <v/>
      </c>
      <c r="F23" s="28">
        <f>'NII计量表'!B22+E23</f>
        <v/>
      </c>
      <c r="G23" s="34">
        <f>IF('NII计量表'!B22=0,0,E23/'NII计量表'!B22)</f>
        <v/>
      </c>
      <c r="H23" s="38">
        <f>IF('NII计量表'!B5=0,0,F23/'NII计量表'!B5)</f>
        <v/>
      </c>
      <c r="I23" s="29" t="inlineStr">
        <is>
          <t>常规加息周期：重定价缺口决定 NII 方向</t>
        </is>
      </c>
    </row>
    <row r="24">
      <c r="A24" s="27" t="inlineStr">
        <is>
          <t>利率平行上移 50bp</t>
        </is>
      </c>
      <c r="B24" s="53" t="n">
        <v>50</v>
      </c>
      <c r="C24" s="28">
        <f>-$B$24/10000*$C$5</f>
        <v/>
      </c>
      <c r="D24" s="33">
        <f>-$B$24/10000*$C$10</f>
        <v/>
      </c>
      <c r="E24" s="28">
        <f>C24-D24</f>
        <v/>
      </c>
      <c r="F24" s="28">
        <f>'NII计量表'!B22+E24</f>
        <v/>
      </c>
      <c r="G24" s="34">
        <f>IF('NII计量表'!B22=0,0,E24/'NII计量表'!B22)</f>
        <v/>
      </c>
      <c r="H24" s="38">
        <f>IF('NII计量表'!B5=0,0,F24/'NII计量表'!B5)</f>
        <v/>
      </c>
      <c r="I24" s="29" t="inlineStr">
        <is>
          <t>温和加息：需关注 NIM 是否跌破 1.50% 监管参考线</t>
        </is>
      </c>
    </row>
    <row r="25">
      <c r="A25" s="27" t="inlineStr">
        <is>
          <t>基准情景（利率不变）</t>
        </is>
      </c>
      <c r="B25" s="53" t="n">
        <v>0</v>
      </c>
      <c r="C25" s="28">
        <f>-$B$25/10000*$C$5</f>
        <v/>
      </c>
      <c r="D25" s="33">
        <f>-$B$25/10000*$C$10</f>
        <v/>
      </c>
      <c r="E25" s="28">
        <f>C25-D25</f>
        <v/>
      </c>
      <c r="F25" s="28">
        <f>'NII计量表'!B22+E25</f>
        <v/>
      </c>
      <c r="G25" s="34">
        <f>IF('NII计量表'!B22=0,0,E25/'NII计量表'!B22)</f>
        <v/>
      </c>
      <c r="H25" s="38">
        <f>IF('NII计量表'!B5=0,0,F25/'NII计量表'!B5)</f>
        <v/>
      </c>
      <c r="I25" s="29" t="inlineStr">
        <is>
          <t>基准情景：ΔNII = 0，NII = 计量表主口径</t>
        </is>
      </c>
    </row>
    <row r="26">
      <c r="A26" s="27" t="inlineStr">
        <is>
          <t>利率平行下移 50bp</t>
        </is>
      </c>
      <c r="B26" s="53" t="n">
        <v>-50</v>
      </c>
      <c r="C26" s="28">
        <f>-$B$26/10000*$C$5</f>
        <v/>
      </c>
      <c r="D26" s="33">
        <f>-$B$26/10000*$C$10</f>
        <v/>
      </c>
      <c r="E26" s="28">
        <f>C26-D26</f>
        <v/>
      </c>
      <c r="F26" s="28">
        <f>'NII计量表'!B22+E26</f>
        <v/>
      </c>
      <c r="G26" s="34">
        <f>IF('NII计量表'!B22=0,0,E26/'NII计量表'!B22)</f>
        <v/>
      </c>
      <c r="H26" s="38">
        <f>IF('NII计量表'!B5=0,0,F26/'NII计量表'!B5)</f>
        <v/>
      </c>
      <c r="I26" s="29" t="inlineStr">
        <is>
          <t>温和降息：负债成本下行，对 NII 形成支撑</t>
        </is>
      </c>
    </row>
    <row r="27">
      <c r="A27" s="27" t="inlineStr">
        <is>
          <t>利率平行下移 100bp</t>
        </is>
      </c>
      <c r="B27" s="53" t="n">
        <v>-100</v>
      </c>
      <c r="C27" s="28">
        <f>-$B$27/10000*$C$5</f>
        <v/>
      </c>
      <c r="D27" s="33">
        <f>-$B$27/10000*$C$10</f>
        <v/>
      </c>
      <c r="E27" s="28">
        <f>C27-D27</f>
        <v/>
      </c>
      <c r="F27" s="28">
        <f>'NII计量表'!B22+E27</f>
        <v/>
      </c>
      <c r="G27" s="34">
        <f>IF('NII计量表'!B22=0,0,E27/'NII计量表'!B22)</f>
        <v/>
      </c>
      <c r="H27" s="38">
        <f>IF('NII计量表'!B5=0,0,F27/'NII计量表'!B5)</f>
        <v/>
      </c>
      <c r="I27" s="29" t="inlineStr">
        <is>
          <t>降息周期：存款重定价滞后，短期利好 NIM</t>
        </is>
      </c>
    </row>
    <row r="28">
      <c r="A28" s="27" t="inlineStr">
        <is>
          <t>利率平行下移 250bp</t>
        </is>
      </c>
      <c r="B28" s="53" t="n">
        <v>-250</v>
      </c>
      <c r="C28" s="28">
        <f>-$B$28/10000*$C$5</f>
        <v/>
      </c>
      <c r="D28" s="33">
        <f>-$B$28/10000*$C$10</f>
        <v/>
      </c>
      <c r="E28" s="28">
        <f>C28-D28</f>
        <v/>
      </c>
      <c r="F28" s="28">
        <f>'NII计量表'!B22+E28</f>
        <v/>
      </c>
      <c r="G28" s="34">
        <f>IF('NII计量表'!B22=0,0,E28/'NII计量表'!B22)</f>
        <v/>
      </c>
      <c r="H28" s="38">
        <f>IF('NII计量表'!B5=0,0,F28/'NII计量表'!B5)</f>
        <v/>
      </c>
      <c r="I28" s="29" t="inlineStr">
        <is>
          <t>大幅降息：贷款重定价滞后，NIM 阶段性走高</t>
        </is>
      </c>
    </row>
    <row r="29">
      <c r="A29" s="16" t="inlineStr">
        <is>
          <t>最不利情景 ΔNII（最小值）</t>
        </is>
      </c>
      <c r="B29" s="12" t="n"/>
      <c r="C29" s="12" t="n"/>
      <c r="D29" s="12" t="n"/>
      <c r="E29" s="47">
        <f>MIN(E22:E28)</f>
        <v/>
      </c>
      <c r="F29" s="47">
        <f>'NII计量表'!B22+E29</f>
        <v/>
      </c>
      <c r="G29" s="12" t="n"/>
      <c r="H29" s="54">
        <f>IF('NII计量表'!B5=0,0,F29/'NII计量表'!B5)</f>
        <v/>
      </c>
      <c r="I29" s="55" t="inlineStr">
        <is>
          <t>各情景中 NII 变动最不利者</t>
        </is>
      </c>
    </row>
    <row r="30">
      <c r="A30" s="16" t="inlineStr">
        <is>
          <t>最有利情景 ΔNII（最大值）</t>
        </is>
      </c>
      <c r="B30" s="12" t="n"/>
      <c r="C30" s="12" t="n"/>
      <c r="D30" s="12" t="n"/>
      <c r="E30" s="47">
        <f>MAX(E22:E28)</f>
        <v/>
      </c>
      <c r="F30" s="47">
        <f>'NII计量表'!B22+E30</f>
        <v/>
      </c>
      <c r="G30" s="12" t="n"/>
      <c r="H30" s="54">
        <f>IF('NII计量表'!B5=0,0,F30/'NII计量表'!B5)</f>
        <v/>
      </c>
      <c r="I30" s="55" t="inlineStr">
        <is>
          <t>各情景中 NII 变动最有利者</t>
        </is>
      </c>
    </row>
    <row r="32">
      <c r="A32" s="18" t="inlineStr">
        <is>
          <t>【三】单边冲击（资产端 / 负债端 分开重定价）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</row>
    <row r="33" ht="34" customHeight="1">
      <c r="A33" s="3" t="inlineStr">
        <is>
          <t>情景</t>
        </is>
      </c>
      <c r="B33" s="3" t="inlineStr">
        <is>
          <t>Δr (bp)</t>
        </is>
      </c>
      <c r="C33" s="3" t="inlineStr">
        <is>
          <t>Δ利息收入
(亿元)</t>
        </is>
      </c>
      <c r="D33" s="3" t="inlineStr">
        <is>
          <t>Δ利息支出
(亿元)</t>
        </is>
      </c>
      <c r="E33" s="3" t="inlineStr">
        <is>
          <t>ΔNII
(亿元)</t>
        </is>
      </c>
      <c r="F33" s="3" t="inlineStr">
        <is>
          <t>情景后 NII
(亿元)</t>
        </is>
      </c>
      <c r="G33" s="3" t="inlineStr">
        <is>
          <t>ΔNII %</t>
        </is>
      </c>
      <c r="H33" s="3" t="inlineStr">
        <is>
          <t>情景后 NIM</t>
        </is>
      </c>
      <c r="I33" s="3" t="inlineStr">
        <is>
          <t>情景解读</t>
        </is>
      </c>
    </row>
    <row r="34">
      <c r="A34" s="27" t="inlineStr">
        <is>
          <t>仅负债端全额重定价 +100bp</t>
        </is>
      </c>
      <c r="B34" s="53" t="n">
        <v>100</v>
      </c>
      <c r="C34" s="28">
        <f>-$B$34/10000*$C$5*0.0</f>
        <v/>
      </c>
      <c r="D34" s="33">
        <f>-$B$34/10000*$C$10*1.0</f>
        <v/>
      </c>
      <c r="E34" s="28">
        <f>C34-D34</f>
        <v/>
      </c>
      <c r="F34" s="28">
        <f>'NII计量表'!B22+E34</f>
        <v/>
      </c>
      <c r="G34" s="34">
        <f>IF('NII计量表'!B22=0,0,E34/'NII计量表'!B22)</f>
        <v/>
      </c>
      <c r="H34" s="38">
        <f>IF('NII计量表'!B5=0,0,F34/'NII计量表'!B5)</f>
        <v/>
      </c>
      <c r="I34" s="29" t="inlineStr">
        <is>
          <t>极端下限：负债 100% 重定价、资产 0% → NII 损失上限</t>
        </is>
      </c>
    </row>
    <row r="35">
      <c r="A35" s="27" t="inlineStr">
        <is>
          <t>仅资产端全额重定价 +100bp</t>
        </is>
      </c>
      <c r="B35" s="53" t="n">
        <v>100</v>
      </c>
      <c r="C35" s="28">
        <f>-$B$35/10000*$C$5*1.0</f>
        <v/>
      </c>
      <c r="D35" s="33">
        <f>-$B$35/10000*$C$10*0.0</f>
        <v/>
      </c>
      <c r="E35" s="28">
        <f>C35-D35</f>
        <v/>
      </c>
      <c r="F35" s="28">
        <f>'NII计量表'!B22+E35</f>
        <v/>
      </c>
      <c r="G35" s="34">
        <f>IF('NII计量表'!B22=0,0,E35/'NII计量表'!B22)</f>
        <v/>
      </c>
      <c r="H35" s="38">
        <f>IF('NII计量表'!B5=0,0,F35/'NII计量表'!B5)</f>
        <v/>
      </c>
      <c r="I35" s="29" t="inlineStr">
        <is>
          <t>极端上限：资产 100% 重定价、负债 0% → NII 改善上限</t>
        </is>
      </c>
    </row>
    <row r="36">
      <c r="A36" s="27" t="inlineStr">
        <is>
          <t>实际重定价（按 β 加权）+100bp</t>
        </is>
      </c>
      <c r="B36" s="53" t="n">
        <v>100</v>
      </c>
      <c r="C36" s="28">
        <f>-$B$36/10000*$C$5*1.0</f>
        <v/>
      </c>
      <c r="D36" s="33">
        <f>-$B$36/10000*$C$10*1.0</f>
        <v/>
      </c>
      <c r="E36" s="28">
        <f>C36-D36</f>
        <v/>
      </c>
      <c r="F36" s="28">
        <f>'NII计量表'!B22+E36</f>
        <v/>
      </c>
      <c r="G36" s="34">
        <f>IF('NII计量表'!B22=0,0,E36/'NII计量表'!B22)</f>
        <v/>
      </c>
      <c r="H36" s="38">
        <f>IF('NII计量表'!B5=0,0,F36/'NII计量表'!B5)</f>
        <v/>
      </c>
      <c r="I36" s="29" t="inlineStr">
        <is>
          <t>实际情景：各自按 β 加权重定价（= 上表 +100bp 情景）</t>
        </is>
      </c>
    </row>
    <row r="37">
      <c r="A37" s="27" t="inlineStr">
        <is>
          <t>负债重定价滞后 +100bp</t>
        </is>
      </c>
      <c r="B37" s="53" t="n">
        <v>100</v>
      </c>
      <c r="C37" s="28">
        <f>-$B$37/10000*$C$5*1.0</f>
        <v/>
      </c>
      <c r="D37" s="33">
        <f>-$B$37/10000*$C$10*0.3</f>
        <v/>
      </c>
      <c r="E37" s="28">
        <f>C37-D37</f>
        <v/>
      </c>
      <c r="F37" s="28">
        <f>'NII计量表'!B22+E37</f>
        <v/>
      </c>
      <c r="G37" s="34">
        <f>IF('NII计量表'!B22=0,0,E37/'NII计量表'!B22)</f>
        <v/>
      </c>
      <c r="H37" s="38">
        <f>IF('NII计量表'!B5=0,0,F37/'NII计量表'!B5)</f>
        <v/>
      </c>
      <c r="I37" s="29" t="inlineStr">
        <is>
          <t>假设活期存款占比骤降、负债 β 有效降至 30% 的情形</t>
        </is>
      </c>
    </row>
    <row r="39">
      <c r="A39" s="18" t="inlineStr">
        <is>
          <t>【四】NII 风险敞口与核心敏感度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</row>
    <row r="40">
      <c r="A40" s="35" t="inlineStr">
        <is>
          <t>加息 100bp 下 NII 变化率（核心敏感度）</t>
        </is>
      </c>
      <c r="B40" s="37" t="n"/>
      <c r="C40" s="56">
        <f>IF('NII计量表'!B22=0,0,E23/'NII计量表'!B22)</f>
        <v/>
      </c>
      <c r="D40" s="42" t="inlineStr">
        <is>
          <t>%</t>
        </is>
      </c>
      <c r="E40" s="37" t="n"/>
      <c r="F40" s="37" t="n"/>
      <c r="G40" s="37" t="n"/>
      <c r="H40" s="37" t="n"/>
      <c r="I40" s="42" t="inlineStr">
        <is>
          <t>银行经营分析的核心敏感度：绝对值越大，利率风险敞口越大</t>
        </is>
      </c>
    </row>
    <row r="41">
      <c r="A41" s="27" t="inlineStr">
        <is>
          <t>加息 100bp 下 NIM 变动（百分点）</t>
        </is>
      </c>
      <c r="B41" s="26" t="n"/>
      <c r="C41" s="38">
        <f>IF('NII计量表'!B5=0,0,(H23-'NII计量表'!B30))</f>
        <v/>
      </c>
      <c r="D41" s="29" t="inlineStr">
        <is>
          <t>%</t>
        </is>
      </c>
      <c r="E41" s="26" t="n"/>
      <c r="F41" s="26" t="n"/>
      <c r="G41" s="26" t="n"/>
      <c r="H41" s="26" t="n"/>
      <c r="I41" s="29" t="inlineStr">
        <is>
          <t>情景后 NIM 减基准 NIM</t>
        </is>
      </c>
    </row>
    <row r="42">
      <c r="A42" s="27" t="inlineStr">
        <is>
          <t>降息 100bp 下 NIM 变动（百分点）</t>
        </is>
      </c>
      <c r="B42" s="26" t="n"/>
      <c r="C42" s="38">
        <f>IF('NII计量表'!B5=0,0,(H27-'NII计量表'!B30))</f>
        <v/>
      </c>
      <c r="D42" s="29" t="inlineStr">
        <is>
          <t>%</t>
        </is>
      </c>
      <c r="E42" s="26" t="n"/>
      <c r="F42" s="26" t="n"/>
      <c r="G42" s="26" t="n"/>
      <c r="H42" s="26" t="n"/>
      <c r="I42" s="29" t="inlineStr">
        <is>
          <t>与上式对称但不一定等幅，取决于 β 分布</t>
        </is>
      </c>
    </row>
    <row r="43">
      <c r="A43" s="27" t="inlineStr">
        <is>
          <t>NII 波动区间（最有利 − 最不利）</t>
        </is>
      </c>
      <c r="B43" s="26" t="n"/>
      <c r="C43" s="28">
        <f>E30-E29</f>
        <v/>
      </c>
      <c r="D43" s="29" t="inlineStr">
        <is>
          <t>亿元</t>
        </is>
      </c>
      <c r="E43" s="26" t="n"/>
      <c r="F43" s="26" t="n"/>
      <c r="G43" s="26" t="n"/>
      <c r="H43" s="26" t="n"/>
      <c r="I43" s="29" t="inlineStr">
        <is>
          <t>7 档情景下 NII 的最大波动幅度</t>
        </is>
      </c>
    </row>
    <row r="44">
      <c r="A44" s="27" t="inlineStr">
        <is>
          <t>敞口方向判定</t>
        </is>
      </c>
      <c r="B44" s="26" t="n"/>
      <c r="C44" s="43">
        <f>IF(C15&gt;0,"正缺口：利率上行 NII 受损",IF(C15&lt;0,"负缺口：利率上行 NII 受益","利率中性"))</f>
        <v/>
      </c>
      <c r="D44" s="29" t="inlineStr">
        <is>
          <t>%</t>
        </is>
      </c>
      <c r="E44" s="26" t="n"/>
      <c r="F44" s="26" t="n"/>
      <c r="G44" s="26" t="n"/>
      <c r="H44" s="26" t="n"/>
      <c r="I44" s="29" t="inlineStr">
        <is>
          <t>由重定价缺口 RG 的符号决定</t>
        </is>
      </c>
    </row>
    <row r="45">
      <c r="A45" s="27" t="inlineStr">
        <is>
          <t>敞口强弱判定（以 100bp NII 损失衡量）</t>
        </is>
      </c>
      <c r="B45" s="26" t="n"/>
      <c r="C45" s="43">
        <f>IF(ABS(E23/'NII计量表'!B22)&gt;0.02,"高敏感（&gt;|2%|）",IF(ABS(E23/'NII计量表'!B22)&gt;0.01,"中敏感（1~2%）","低敏感（&lt;1%）"))</f>
        <v/>
      </c>
      <c r="D45" s="29" t="inlineStr">
        <is>
          <t>%</t>
        </is>
      </c>
      <c r="E45" s="26" t="n"/>
      <c r="F45" s="26" t="n"/>
      <c r="G45" s="26" t="n"/>
      <c r="H45" s="26" t="n"/>
      <c r="I45" s="29" t="inlineStr">
        <is>
          <t>阈值：100bp 冲击下 NII 变动幅度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6" customWidth="1" min="1" max="1"/>
    <col width="56" customWidth="1" min="2" max="2"/>
    <col width="28" customWidth="1" min="3" max="3"/>
  </cols>
  <sheetData>
    <row r="1" ht="24" customHeight="1">
      <c r="A1" s="1" t="inlineStr">
        <is>
          <t>NII 净利息收入计量逻辑说明与 prcp 实体映射</t>
        </is>
      </c>
    </row>
    <row r="3">
      <c r="A3" s="18" t="inlineStr">
        <is>
          <t>【一】基础概念</t>
        </is>
      </c>
      <c r="B3" s="20" t="n"/>
      <c r="C3" s="20" t="n"/>
    </row>
    <row r="4">
      <c r="A4" s="39" t="inlineStr">
        <is>
          <t>净利息收入 NII</t>
        </is>
      </c>
      <c r="B4" s="57" t="inlineStr">
        <is>
          <t>Net Interest Income = 利息收入 − 利息支出，利润表核心科目，单位：亿元</t>
        </is>
      </c>
      <c r="C4" s="26" t="n"/>
    </row>
    <row r="5">
      <c r="A5" s="39" t="inlineStr">
        <is>
          <t>净息差 NIM</t>
        </is>
      </c>
      <c r="B5" s="57" t="inlineStr">
        <is>
          <t>NIM = NII ÷ 平均生息资产 × 100%，衡量每一元生息资产创造的净利息收入</t>
        </is>
      </c>
      <c r="C5" s="26" t="n"/>
    </row>
    <row r="6">
      <c r="A6" s="39" t="inlineStr">
        <is>
          <t>净利差 NIS</t>
        </is>
      </c>
      <c r="B6" s="57" t="inlineStr">
        <is>
          <t>NIS = 生息资产收益率 − 计息负债成本率，衡量资产端与负债端定价差</t>
        </is>
      </c>
      <c r="C6" s="26" t="n"/>
    </row>
    <row r="7">
      <c r="A7" s="39" t="inlineStr">
        <is>
          <t>生息资产</t>
        </is>
      </c>
      <c r="B7" s="57" t="inlineStr">
        <is>
          <t>能够产生利息收入的资产：贷款、债券投资、同业资产、存款准备金等</t>
        </is>
      </c>
      <c r="C7" s="26" t="n"/>
    </row>
    <row r="8">
      <c r="A8" s="39" t="inlineStr">
        <is>
          <t>计息负债</t>
        </is>
      </c>
      <c r="B8" s="57" t="inlineStr">
        <is>
          <t>需要支付利息的负债：各类存款、同业负债、央行借款等</t>
        </is>
      </c>
      <c r="C8" s="26" t="n"/>
    </row>
    <row r="9">
      <c r="A9" s="39" t="inlineStr">
        <is>
          <t>非生息资产</t>
        </is>
      </c>
      <c r="B9" s="57" t="inlineStr">
        <is>
          <t>不产生利息的资产（FVTPL/现金/其它），NII 模版中单列并从生息资产中剔除</t>
        </is>
      </c>
      <c r="C9" s="26" t="n"/>
    </row>
    <row r="10">
      <c r="A10" s="39" t="inlineStr">
        <is>
          <t>平均余额</t>
        </is>
      </c>
      <c r="B10" s="57" t="inlineStr">
        <is>
          <t>平均余额 = (期初余额 + 期末余额) ÷ 2，监管口径要求使用日均/平均余额而非期末余额</t>
        </is>
      </c>
      <c r="C10" s="26" t="n"/>
    </row>
    <row r="11">
      <c r="A11" s="39" t="inlineStr">
        <is>
          <t>重定价系数 β</t>
        </is>
      </c>
      <c r="B11" s="57" t="inlineStr">
        <is>
          <t>1 年内利率变动向该科目传导的比例，活期存款 β 低（0.25），隔夜回购 β 高（0.98）</t>
        </is>
      </c>
      <c r="C11" s="26" t="n"/>
    </row>
    <row r="12">
      <c r="A12" s="39" t="inlineStr">
        <is>
          <t>重定价缺口 RG</t>
        </is>
      </c>
      <c r="B12" s="57" t="inlineStr">
        <is>
          <t>RG = Σ(资产余额×β) − Σ(负债余额×β)，决定利率变动对 NII 的方向和幅度</t>
        </is>
      </c>
      <c r="C12" s="26" t="n"/>
    </row>
    <row r="13">
      <c r="A13" s="18" t="inlineStr">
        <is>
          <t>【二】核心计算公式</t>
        </is>
      </c>
      <c r="B13" s="20" t="n"/>
      <c r="C13" s="20" t="n"/>
    </row>
    <row r="14">
      <c r="A14" s="39" t="inlineStr">
        <is>
          <t>单账户利息收入</t>
        </is>
      </c>
      <c r="B14" s="57" t="inlineStr">
        <is>
          <t>利息收入_i = IF(资产 且 利率&gt;0, 平均余额_i × 年化利率_i, 0)</t>
        </is>
      </c>
      <c r="C14" s="26" t="n"/>
    </row>
    <row r="15">
      <c r="A15" s="39" t="inlineStr">
        <is>
          <t>单账户利息支出</t>
        </is>
      </c>
      <c r="B15" s="57" t="inlineStr">
        <is>
          <t>利息支出_i = IF(负债 且 利率&gt;0, 平均余额_i × 年化利率_i, 0)</t>
        </is>
      </c>
      <c r="C15" s="26" t="n"/>
    </row>
    <row r="16">
      <c r="A16" s="39" t="inlineStr">
        <is>
          <t>利息收入合计</t>
        </is>
      </c>
      <c r="B16" s="57" t="inlineStr">
        <is>
          <t>Σ 全部生息资产账户的利息收入</t>
        </is>
      </c>
      <c r="C16" s="26" t="n"/>
    </row>
    <row r="17">
      <c r="A17" s="39" t="inlineStr">
        <is>
          <t>利息支出合计</t>
        </is>
      </c>
      <c r="B17" s="57" t="inlineStr">
        <is>
          <t>Σ 全部计息负债账户的利息支出</t>
        </is>
      </c>
      <c r="C17" s="26" t="n"/>
    </row>
    <row r="18">
      <c r="A18" s="39" t="inlineStr">
        <is>
          <t>净利息收入 NII</t>
        </is>
      </c>
      <c r="B18" s="57" t="inlineStr">
        <is>
          <t>NII = 利息收入合计 − 利息支出合计 ★ 核心输出指标</t>
        </is>
      </c>
      <c r="C18" s="26" t="n"/>
    </row>
    <row r="19">
      <c r="A19" s="39" t="inlineStr">
        <is>
          <t>平均生息资产</t>
        </is>
      </c>
      <c r="B19" s="57" t="inlineStr">
        <is>
          <t>Σ 生息资产账户平均余额（利率 &gt; 0）</t>
        </is>
      </c>
      <c r="C19" s="26" t="n"/>
    </row>
    <row r="20">
      <c r="A20" s="39" t="inlineStr">
        <is>
          <t>生息资产收益率</t>
        </is>
      </c>
      <c r="B20" s="57" t="inlineStr">
        <is>
          <t>生息资产收益率 = 利息收入 ÷ 平均生息资产</t>
        </is>
      </c>
      <c r="C20" s="26" t="n"/>
    </row>
    <row r="21">
      <c r="A21" s="39" t="inlineStr">
        <is>
          <t>计息负债成本率</t>
        </is>
      </c>
      <c r="B21" s="57" t="inlineStr">
        <is>
          <t>计息负债成本率 = 利息支出 ÷ 平均计息负债</t>
        </is>
      </c>
      <c r="C21" s="26" t="n"/>
    </row>
    <row r="22">
      <c r="A22" s="39" t="inlineStr">
        <is>
          <t>净利差 NIS</t>
        </is>
      </c>
      <c r="B22" s="57" t="inlineStr">
        <is>
          <t>NIS = 生息资产收益率 − 计息负债成本率</t>
        </is>
      </c>
      <c r="C22" s="26" t="n"/>
    </row>
    <row r="23">
      <c r="A23" s="39" t="inlineStr">
        <is>
          <t>净息差 NIM</t>
        </is>
      </c>
      <c r="B23" s="57" t="inlineStr">
        <is>
          <t>NIM = NII ÷ 平均生息资产 ★ 核心输出指标</t>
        </is>
      </c>
      <c r="C23" s="26" t="n"/>
    </row>
    <row r="24">
      <c r="A24" s="39" t="inlineStr">
        <is>
          <t>ΔNII 敏感度</t>
        </is>
      </c>
      <c r="B24" s="57" t="inlineStr">
        <is>
          <t>ΔNII = −Δr × (A_β − L_β) = −Δr × 重定价缺口 RG</t>
        </is>
      </c>
      <c r="C24" s="26" t="n"/>
    </row>
    <row r="25">
      <c r="A25" s="39" t="inlineStr">
        <is>
          <t>NII 利率弹性</t>
        </is>
      </c>
      <c r="B25" s="57" t="inlineStr">
        <is>
          <t>弹性 ≈ −RG ÷ 平均生息资产，表示 Δr 变动 1% 时 NII 变动的相对比例</t>
        </is>
      </c>
      <c r="C25" s="26" t="n"/>
    </row>
    <row r="26">
      <c r="A26" s="18" t="inlineStr">
        <is>
          <t>【三】完整公式（Excel 单元格级）</t>
        </is>
      </c>
      <c r="B26" s="20" t="n"/>
      <c r="C26" s="20" t="n"/>
    </row>
    <row r="27">
      <c r="A27" s="39" t="inlineStr">
        <is>
          <t>平均余额</t>
        </is>
      </c>
      <c r="B27" s="57" t="inlineStr">
        <is>
          <t>NII数据源!J 列 = (H 期初余额 + I 期末余额) / 2</t>
        </is>
      </c>
      <c r="C27" s="26" t="n"/>
    </row>
    <row r="28">
      <c r="A28" s="39" t="inlineStr">
        <is>
          <t>有效计息标记</t>
        </is>
      </c>
      <c r="B28" s="57" t="inlineStr">
        <is>
          <t>NII数据源!L 列 = IF(K 年化利率 &gt; 0, "是", "否")</t>
        </is>
      </c>
      <c r="C28" s="26" t="n"/>
    </row>
    <row r="29">
      <c r="A29" s="39" t="inlineStr">
        <is>
          <t>单账户利息收入</t>
        </is>
      </c>
      <c r="B29" s="57" t="inlineStr">
        <is>
          <t>NII数据源!N 列 = IF(AND(C="资产", L="是"), J 平均余额 × K 利率, 0)</t>
        </is>
      </c>
      <c r="C29" s="26" t="n"/>
    </row>
    <row r="30">
      <c r="A30" s="39" t="inlineStr">
        <is>
          <t>单账户利息支出</t>
        </is>
      </c>
      <c r="B30" s="57" t="inlineStr">
        <is>
          <t>NII数据源!O 列 = IF(AND(C="负债", L="是"), J 平均余额 × K 利率, 0)</t>
        </is>
      </c>
      <c r="C30" s="26" t="n"/>
    </row>
    <row r="31">
      <c r="A31" s="39" t="inlineStr">
        <is>
          <t>利息收入合计</t>
        </is>
      </c>
      <c r="B31" s="57" t="inlineStr">
        <is>
          <t>利息收入明细!K26 合计行 = SUM(全部资产账户利息收入)</t>
        </is>
      </c>
      <c r="C31" s="26" t="n"/>
    </row>
    <row r="32">
      <c r="A32" s="39" t="inlineStr">
        <is>
          <t>利息支出合计</t>
        </is>
      </c>
      <c r="B32" s="57" t="inlineStr">
        <is>
          <t>利息支出明细!K20 合计行 = SUM(全部负债账户利息支出)</t>
        </is>
      </c>
      <c r="C32" s="26" t="n"/>
    </row>
    <row r="33">
      <c r="A33" s="39" t="inlineStr">
        <is>
          <t>业务条线汇总</t>
        </is>
      </c>
      <c r="B33" s="57" t="inlineStr">
        <is>
          <t>SUMIF(业务条线范围, 条线名, 平均余额范围) / SUMIF(..., 利息金额范围)</t>
        </is>
      </c>
      <c r="C33" s="26" t="n"/>
    </row>
    <row r="34">
      <c r="A34" s="39" t="inlineStr">
        <is>
          <t>账户类型汇总</t>
        </is>
      </c>
      <c r="B34" s="57" t="inlineStr">
        <is>
          <t>SUMIF(账户类型范围, 类型名, ...) 精确匹配活期/定期/信贷/非息</t>
        </is>
      </c>
      <c r="C34" s="26" t="n"/>
    </row>
    <row r="35">
      <c r="A35" s="39" t="inlineStr">
        <is>
          <t>净息差 NIM</t>
        </is>
      </c>
      <c r="B35" s="57">
        <f> NII计量表!B22 / NII计量表!B5</f>
        <v/>
      </c>
      <c r="C35" s="26" t="n"/>
    </row>
    <row r="36">
      <c r="A36" s="39" t="inlineStr">
        <is>
          <t>重定价敞口 A_β</t>
        </is>
      </c>
      <c r="B36" s="57" t="inlineStr">
        <is>
          <t>SUMPRODUCT((方向="资产")*(利率&gt;0)*平均余额, 重定价β)</t>
        </is>
      </c>
      <c r="C36" s="26" t="n"/>
    </row>
    <row r="37">
      <c r="A37" s="39" t="inlineStr">
        <is>
          <t>重定价敞口 L_β</t>
        </is>
      </c>
      <c r="B37" s="57" t="inlineStr">
        <is>
          <t>SUMPRODUCT((方向="负债")*平均余额, 重定价β)</t>
        </is>
      </c>
      <c r="C37" s="26" t="n"/>
    </row>
    <row r="38">
      <c r="A38" s="39" t="inlineStr">
        <is>
          <t>重定价缺口 RG</t>
        </is>
      </c>
      <c r="B38" s="57" t="inlineStr">
        <is>
          <t>A_β − L_β</t>
        </is>
      </c>
      <c r="C38" s="26" t="n"/>
    </row>
    <row r="39">
      <c r="A39" s="39" t="inlineStr">
        <is>
          <t>ΔNII 情景值</t>
        </is>
      </c>
      <c r="B39" s="57" t="inlineStr">
        <is>
          <t>ΔNII = −Δr/10000 × RG</t>
        </is>
      </c>
      <c r="C39" s="26" t="n"/>
    </row>
    <row r="40">
      <c r="A40" s="18" t="inlineStr">
        <is>
          <t>【四】监管依据与参考区间</t>
        </is>
      </c>
      <c r="B40" s="20" t="n"/>
      <c r="C40" s="20" t="n"/>
    </row>
    <row r="41">
      <c r="A41" s="39" t="inlineStr">
        <is>
          <t>NIM 定义</t>
        </is>
      </c>
      <c r="B41" s="57" t="inlineStr">
        <is>
          <t>《商业银行资产负债管理管理办法》：净息差 = 净利息收入 ÷ 平均生息资产</t>
        </is>
      </c>
      <c r="C41" s="26" t="n"/>
    </row>
    <row r="42">
      <c r="A42" s="39" t="inlineStr">
        <is>
          <t>平均余额要求</t>
        </is>
      </c>
      <c r="B42" s="57" t="inlineStr">
        <is>
          <t>监管口径要求使用日均余额 / 期初期末平均余额，而非期末时点数</t>
        </is>
      </c>
      <c r="C42" s="26" t="n"/>
    </row>
    <row r="43">
      <c r="A43" s="39" t="inlineStr">
        <is>
          <t>NIM 合理区间</t>
        </is>
      </c>
      <c r="B43" s="57" t="inlineStr">
        <is>
          <t>1.50% ~ 2.50%（行业参考，非强制指标）</t>
        </is>
      </c>
      <c r="C43" s="26" t="n"/>
    </row>
    <row r="44">
      <c r="A44" s="39" t="inlineStr">
        <is>
          <t>存贷比要求</t>
        </is>
      </c>
      <c r="B44" s="57" t="inlineStr">
        <is>
          <t>≤ 100%（现行实施差异化分档考核，75% 为主要档位）</t>
        </is>
      </c>
      <c r="C44" s="26" t="n"/>
    </row>
    <row r="45">
      <c r="A45" s="39" t="inlineStr">
        <is>
          <t>贷存比</t>
        </is>
      </c>
      <c r="B45" s="57" t="inlineStr">
        <is>
          <t>≥ 25%（流动性监管参考）</t>
        </is>
      </c>
      <c r="C45" s="26" t="n"/>
    </row>
    <row r="46">
      <c r="A46" s="39" t="inlineStr">
        <is>
          <t>活期化率</t>
        </is>
      </c>
      <c r="B46" s="57" t="inlineStr">
        <is>
          <t>活期存款 ÷ 存款合计，直接影响计息负债成本率与 NIM</t>
        </is>
      </c>
      <c r="C46" s="26" t="n"/>
    </row>
    <row r="47">
      <c r="A47" s="18" t="inlineStr">
        <is>
          <t>【五】prcp 平台实体映射</t>
        </is>
      </c>
      <c r="B47" s="20" t="n"/>
      <c r="C47" s="20" t="n"/>
    </row>
    <row r="48">
      <c r="A48" s="39" t="inlineStr">
        <is>
          <t>KpiScheme（指标方案）</t>
        </is>
      </c>
      <c r="B48" s="57" t="inlineStr">
        <is>
          <t>NII 指标方案 = 方案主体，绑定账户册方案 CoaScheme（ZX_CITIC_2026）</t>
        </is>
      </c>
      <c r="C48" s="26" t="n"/>
    </row>
    <row r="49">
      <c r="A49" s="39" t="inlineStr">
        <is>
          <t>KpiDefinition（指标定义）</t>
        </is>
      </c>
      <c r="B49" s="57" t="inlineStr">
        <is>
          <t>NII 指标定义：indicator_code=NII, formula=NII(亿元), 引用本模版公式链</t>
        </is>
      </c>
      <c r="C49" s="26" t="n"/>
    </row>
    <row r="50">
      <c r="A50" s="39" t="inlineStr">
        <is>
          <t>KpiDefinition（关联指标）</t>
        </is>
      </c>
      <c r="B50" s="57" t="inlineStr">
        <is>
          <t>NIM 定义引用 NII 为输入指标，形成 NII → NIM 计量链路</t>
        </is>
      </c>
      <c r="C50" s="26" t="n"/>
    </row>
    <row r="51">
      <c r="A51" s="39" t="inlineStr">
        <is>
          <t>KpiScoreRule（评分规则）</t>
        </is>
      </c>
      <c r="B51" s="57" t="inlineStr">
        <is>
          <t>NII / NIM 的评分规则，区间下限分数 + 区间上限分数，支持线性插值</t>
        </is>
      </c>
      <c r="C51" s="26" t="n"/>
    </row>
    <row r="52">
      <c r="A52" s="39" t="inlineStr">
        <is>
          <t>KpiScoreSegment（评分分段）</t>
        </is>
      </c>
      <c r="B52" s="57" t="inlineStr">
        <is>
          <t>每个指标 10 个分段，越靠近真实值分段越密</t>
        </is>
      </c>
      <c r="C52" s="26" t="n"/>
    </row>
    <row r="53">
      <c r="A53" s="39" t="inlineStr">
        <is>
          <t>KpiValue（指标值）</t>
        </is>
      </c>
      <c r="B53" s="57" t="inlineStr">
        <is>
          <t>计量结果落库：value + value_date + scheme_id + definition_id</t>
        </is>
      </c>
      <c r="C53" s="26" t="n"/>
    </row>
    <row r="54">
      <c r="A54" s="39" t="inlineStr">
        <is>
          <t>CoaNode（账户节点）</t>
        </is>
      </c>
      <c r="B54" s="57" t="inlineStr">
        <is>
          <t>本模版 36 个计息账户对应 prcp_coa_node 末级节点，node_code 即账户编码</t>
        </is>
      </c>
      <c r="C54" s="26" t="n"/>
    </row>
    <row r="55">
      <c r="A55" s="39" t="inlineStr">
        <is>
          <t>MetricCoefficient（系数）</t>
        </is>
      </c>
      <c r="B55" s="57" t="inlineStr">
        <is>
          <t>各账户利率、年化系数等参数化配置，对应 prcp_kpi_scheme 的参数集</t>
        </is>
      </c>
      <c r="C55" s="26" t="n"/>
    </row>
    <row r="56">
      <c r="A56" s="39" t="inlineStr">
        <is>
          <t>SimScheme（测算方案）</t>
        </is>
      </c>
      <c r="B56" s="57" t="inlineStr">
        <is>
          <t>利率情景（Δr = ±250/100/50 bp）对应测算方案，支持批量重算 NII</t>
        </is>
      </c>
      <c r="C56" s="26" t="n"/>
    </row>
    <row r="57">
      <c r="A57" s="18" t="inlineStr">
        <is>
          <t>【六】本模版相对 NIM.xlsx 的升级点</t>
        </is>
      </c>
      <c r="B57" s="20" t="n"/>
      <c r="C57" s="20" t="n"/>
    </row>
    <row r="58">
      <c r="A58" s="39" t="inlineStr">
        <is>
          <t>① 单位统一为亿元</t>
        </is>
      </c>
      <c r="B58" s="57" t="inlineStr">
        <is>
          <t>修正 NIM.xlsx 折算依据 sheet 中「利息收入 ≈ 376 亿 / 平均生息资产 ≈ 8,620 亿」的 10 倍口径错误</t>
        </is>
      </c>
      <c r="C58" s="26" t="n"/>
    </row>
    <row r="59">
      <c r="A59" s="39" t="inlineStr">
        <is>
          <t>② 引入平均余额口径</t>
        </is>
      </c>
      <c r="B59" s="57" t="inlineStr">
        <is>
          <t>新增期初余额 + 平均余额列，符合监管「不得使用期末时点数」要求</t>
        </is>
      </c>
      <c r="C59" s="26" t="n"/>
    </row>
    <row r="60">
      <c r="A60" s="39" t="inlineStr">
        <is>
          <t>③ 剔除非生息资产</t>
        </is>
      </c>
      <c r="B60" s="57" t="inlineStr">
        <is>
          <t>FVTPL / 现金 / 其它非生息资产从生息资产中单列剔除，NIM 分母更准确</t>
        </is>
      </c>
      <c r="C60" s="26" t="n"/>
    </row>
    <row r="61">
      <c r="A61" s="39" t="inlineStr">
        <is>
          <t>④ 新增重定价缺口分析</t>
        </is>
      </c>
      <c r="B61" s="57" t="inlineStr">
        <is>
          <t>引入 β 权重，量化利率变动对 NII 的方向与幅度，7 档情景 + 4 档单边冲击</t>
        </is>
      </c>
      <c r="C61" s="26" t="n"/>
    </row>
    <row r="62">
      <c r="A62" s="39" t="inlineStr">
        <is>
          <t>⑤ 三维结构拆解</t>
        </is>
      </c>
      <c r="B62" s="57" t="inlineStr">
        <is>
          <t>业务条线（5+4 类）/ 币种（人民币+外币）/ 账户类型（活期定期）三维拆解 NII</t>
        </is>
      </c>
      <c r="C62" s="26" t="n"/>
    </row>
    <row r="63">
      <c r="A63" s="39" t="inlineStr">
        <is>
          <t>⑥ 8 项勾稽校验</t>
        </is>
      </c>
      <c r="B63" s="57" t="inlineStr">
        <is>
          <t>明细↔数据源交叉勾稽、占比合计、恒等式、条线加总，全部应为 0</t>
        </is>
      </c>
      <c r="C63" s="26" t="n"/>
    </row>
    <row r="64">
      <c r="A64" s="39" t="inlineStr">
        <is>
          <t>⑦ 全公式联动</t>
        </is>
      </c>
      <c r="B64" s="57" t="inlineStr">
        <is>
          <t>仅「NII数据源」含输入（余额/利率/β），其余 6 sheet 全部为公式，零硬编码</t>
        </is>
      </c>
      <c r="C64" s="26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2026-10-23T06:13:22Z</dcterms:created>
  <dcterms:modified xsi:type="dcterms:W3CDTF">2026-10-23T06:13:22Z</dcterms:modified>
</cp:coreProperties>
</file>