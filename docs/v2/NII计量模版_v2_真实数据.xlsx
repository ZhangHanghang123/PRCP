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数据源" sheetId="1" state="visible" r:id="rId1"/>
    <sheet name="②期限分布" sheetId="2" state="visible" r:id="rId2"/>
    <sheet name="③收益率曲线" sheetId="3" state="visible" r:id="rId3"/>
    <sheet name="④利息收入明细" sheetId="4" state="visible" r:id="rId4"/>
    <sheet name="⑤利息支出明细" sheetId="5" state="visible" r:id="rId5"/>
    <sheet name="⑥NII计量表" sheetId="6" state="visible" r:id="rId6"/>
    <sheet name="⑦期限结构与重定价" sheetId="7" state="visible" r:id="rId7"/>
    <sheet name="⑧NII结构拆解" sheetId="8" state="visible" r:id="rId8"/>
    <sheet name="⑨情景敏感性" sheetId="9" state="visible" r:id="rId9"/>
    <sheet name="⑩计算逻辑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-#,##0.00"/>
    <numFmt numFmtId="165" formatCode="0.0000%"/>
    <numFmt numFmtId="166" formatCode="#,##0.0000;[Red]-#,##0.0000"/>
    <numFmt numFmtId="167" formatCode="#,##0;[Red]-#,##0"/>
    <numFmt numFmtId="168" formatCode="0.00000000"/>
  </numFmts>
  <fonts count="12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i val="1"/>
      <color rgb="00595959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0070C0"/>
      <sz val="10"/>
    </font>
    <font>
      <name val="Microsoft YaHei"/>
      <color rgb="007030A0"/>
      <sz val="10"/>
    </font>
    <font>
      <name val="Microsoft YaHei"/>
      <b val="1"/>
      <sz val="10"/>
    </font>
    <font>
      <name val="Microsoft YaHei"/>
      <b val="1"/>
      <color rgb="001F4E78"/>
      <sz val="10"/>
    </font>
    <font>
      <name val="Microsoft YaHei"/>
      <color rgb="00C55A11"/>
      <sz val="10"/>
    </font>
    <font>
      <name val="Microsoft YaHei"/>
      <b val="1"/>
      <color rgb="00C00000"/>
      <sz val="12"/>
    </font>
    <font>
      <name val="Microsoft YaHei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4" fontId="6" fillId="3" borderId="1" pivotButton="0" quotePrefix="0" xfId="0"/>
    <xf numFmtId="10" fontId="6" fillId="3" borderId="1" pivotButton="0" quotePrefix="0" xfId="0"/>
    <xf numFmtId="166" fontId="6" fillId="4" borderId="1" pivotButton="0" quotePrefix="0" xfId="0"/>
    <xf numFmtId="10" fontId="4" fillId="3" borderId="1" pivotButton="0" quotePrefix="0" xfId="0"/>
    <xf numFmtId="0" fontId="2" fillId="3" borderId="1" pivotButton="0" quotePrefix="0" xfId="0"/>
    <xf numFmtId="0" fontId="4" fillId="5" borderId="1" pivotButton="0" quotePrefix="0" xfId="0"/>
    <xf numFmtId="164" fontId="6" fillId="5" borderId="1" pivotButton="0" quotePrefix="0" xfId="0"/>
    <xf numFmtId="10" fontId="6" fillId="5" borderId="1" pivotButton="0" quotePrefix="0" xfId="0"/>
    <xf numFmtId="10" fontId="4" fillId="5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7" fillId="6" borderId="1" pivotButton="0" quotePrefix="0" xfId="0"/>
    <xf numFmtId="164" fontId="7" fillId="6" borderId="1" pivotButton="0" quotePrefix="0" xfId="0"/>
    <xf numFmtId="165" fontId="7" fillId="6" borderId="1" pivotButton="0" quotePrefix="0" xfId="0"/>
    <xf numFmtId="10" fontId="7" fillId="6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4" fillId="0" borderId="1" pivotButton="0" quotePrefix="0" xfId="0"/>
    <xf numFmtId="167" fontId="5" fillId="4" borderId="1" pivotButton="0" quotePrefix="0" xfId="0"/>
    <xf numFmtId="167" fontId="5" fillId="3" borderId="1" pivotButton="0" quotePrefix="0" xfId="0"/>
    <xf numFmtId="164" fontId="6" fillId="0" borderId="1" pivotButton="0" quotePrefix="0" xfId="0"/>
    <xf numFmtId="10" fontId="6" fillId="0" borderId="1" pivotButton="0" quotePrefix="0" xfId="0"/>
    <xf numFmtId="167" fontId="5" fillId="5" borderId="1" pivotButton="0" quotePrefix="0" xfId="0"/>
    <xf numFmtId="166" fontId="4" fillId="0" borderId="1" pivotButton="0" quotePrefix="0" xfId="0"/>
    <xf numFmtId="165" fontId="4" fillId="0" borderId="1" pivotButton="0" quotePrefix="0" xfId="0"/>
    <xf numFmtId="168" fontId="6" fillId="0" borderId="1" pivotButton="0" quotePrefix="0" xfId="0"/>
    <xf numFmtId="166" fontId="6" fillId="0" borderId="1" pivotButton="0" quotePrefix="0" xfId="0"/>
    <xf numFmtId="0" fontId="2" fillId="0" borderId="1" pivotButton="0" quotePrefix="0" xfId="0"/>
    <xf numFmtId="165" fontId="6" fillId="3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3" borderId="1" pivotButton="0" quotePrefix="0" xfId="0"/>
    <xf numFmtId="164" fontId="9" fillId="5" borderId="1" pivotButton="0" quotePrefix="0" xfId="0"/>
    <xf numFmtId="165" fontId="9" fillId="5" borderId="1" pivotButton="0" quotePrefix="0" xfId="0"/>
    <xf numFmtId="10" fontId="9" fillId="5" borderId="1" pivotButton="0" quotePrefix="0" xfId="0"/>
    <xf numFmtId="0" fontId="0" fillId="0" borderId="1" pivotButton="0" quotePrefix="0" xfId="0"/>
    <xf numFmtId="0" fontId="7" fillId="8" borderId="1" pivotButton="0" quotePrefix="0" xfId="0"/>
    <xf numFmtId="164" fontId="10" fillId="8" borderId="1" pivotButton="0" quotePrefix="0" xfId="0"/>
    <xf numFmtId="0" fontId="0" fillId="8" borderId="1" pivotButton="0" quotePrefix="0" xfId="0"/>
    <xf numFmtId="165" fontId="6" fillId="0" borderId="1" pivotButton="0" quotePrefix="0" xfId="0"/>
    <xf numFmtId="0" fontId="7" fillId="0" borderId="1" pivotButton="0" quotePrefix="0" xfId="0"/>
    <xf numFmtId="165" fontId="11" fillId="8" borderId="1" pivotButton="0" quotePrefix="0" xfId="0"/>
    <xf numFmtId="0" fontId="2" fillId="8" borderId="1" pivotButton="0" quotePrefix="0" xfId="0"/>
    <xf numFmtId="10" fontId="5" fillId="0" borderId="1" pivotButton="0" quotePrefix="0" xfId="0"/>
    <xf numFmtId="49" fontId="6" fillId="0" borderId="1" pivotButton="0" quotePrefix="0" xfId="0"/>
    <xf numFmtId="166" fontId="6" fillId="3" borderId="1" pivotButton="0" quotePrefix="0" xfId="0"/>
    <xf numFmtId="166" fontId="6" fillId="5" borderId="1" pivotButton="0" quotePrefix="0" xfId="0"/>
    <xf numFmtId="0" fontId="4" fillId="6" borderId="1" pivotButton="0" quotePrefix="0" xfId="0"/>
    <xf numFmtId="164" fontId="6" fillId="6" borderId="1" pivotButton="0" quotePrefix="0" xfId="0"/>
    <xf numFmtId="166" fontId="6" fillId="6" borderId="1" pivotButton="0" quotePrefix="0" xfId="0"/>
    <xf numFmtId="10" fontId="6" fillId="6" borderId="1" pivotButton="0" quotePrefix="0" xfId="0"/>
    <xf numFmtId="166" fontId="7" fillId="6" borderId="1" pivotButton="0" quotePrefix="0" xfId="0"/>
    <xf numFmtId="164" fontId="7" fillId="0" borderId="1" pivotButton="0" quotePrefix="0" xfId="0"/>
    <xf numFmtId="164" fontId="9" fillId="0" borderId="1" pivotButton="0" quotePrefix="0" xfId="0"/>
    <xf numFmtId="165" fontId="6" fillId="5" borderId="1" pivotButton="0" quotePrefix="0" xfId="0"/>
    <xf numFmtId="164" fontId="4" fillId="0" borderId="1" pivotButton="0" quotePrefix="0" xfId="0"/>
    <xf numFmtId="167" fontId="5" fillId="0" borderId="1" pivotButton="0" quotePrefix="0" xfId="0"/>
    <xf numFmtId="10" fontId="6" fillId="8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8" customWidth="1" min="3" max="3"/>
    <col width="12" customWidth="1" min="4" max="4"/>
    <col width="9" customWidth="1" min="5" max="5"/>
    <col width="13" customWidth="1" min="6" max="6"/>
    <col width="12" customWidth="1" min="7" max="7"/>
    <col width="15" customWidth="1" min="8" max="8"/>
    <col width="14" customWidth="1" min="9" max="9"/>
    <col width="13" customWidth="1" min="10" max="10"/>
    <col width="12" customWidth="1" min="11" max="11"/>
    <col width="10" customWidth="1" min="12" max="12"/>
    <col width="10" customWidth="1" min="13" max="13"/>
    <col width="9" customWidth="1" min="14" max="14"/>
    <col width="30" customWidth="1" min="15" max="15"/>
  </cols>
  <sheetData>
    <row r="1">
      <c r="A1" s="1" t="inlineStr">
        <is>
          <t>① NII 数据源 — 全部取自 prcp_basic_20251231.xlsx「基础数据」（方案 8 / 2025-12-31）</t>
        </is>
      </c>
    </row>
    <row r="2">
      <c r="A2" s="2" t="inlineStr">
        <is>
          <t>🟢 绿区(蓝字) = 可编辑：当前余额、加权平均利率、重定价β  |  🟣 紫字 = 自动计算  |  月度利息 = 余额 × 利率 ÷ 100 ÷ 12（与参照物 EM 列口径一致，已逐笔核对偏差为 0）  |  1年内到期 = 「②期限分布」前 12 桶合计  |  重定价β = MIN(0.98, MAX(0.10, 1年内到期 ÷ Σ分布)) 自动推导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大类</t>
        </is>
      </c>
      <c r="D3" s="3" t="inlineStr">
        <is>
          <t>业务条线</t>
        </is>
      </c>
      <c r="E3" s="3" t="inlineStr">
        <is>
          <t>账户类型</t>
        </is>
      </c>
      <c r="F3" s="3" t="inlineStr">
        <is>
          <t>当前余额
(亿元)</t>
        </is>
      </c>
      <c r="G3" s="3" t="inlineStr">
        <is>
          <t>加权平均
利率</t>
        </is>
      </c>
      <c r="H3" s="3" t="inlineStr">
        <is>
          <t>月度利息
(亿元/月)</t>
        </is>
      </c>
      <c r="I3" s="3" t="inlineStr">
        <is>
          <t>年度利息
(亿元/年)</t>
        </is>
      </c>
      <c r="J3" s="3" t="inlineStr">
        <is>
          <t>1年内到期
(亿元)</t>
        </is>
      </c>
      <c r="K3" s="3" t="inlineStr">
        <is>
          <t>期限分布
覆盖率</t>
        </is>
      </c>
      <c r="L3" s="3" t="inlineStr">
        <is>
          <t>重定价β</t>
        </is>
      </c>
      <c r="M3" s="3" t="inlineStr">
        <is>
          <t>风险权重</t>
        </is>
      </c>
      <c r="N3" s="3" t="inlineStr">
        <is>
          <t>ASF/RSF</t>
        </is>
      </c>
      <c r="O3" s="3" t="inlineStr">
        <is>
          <t>数据来源</t>
        </is>
      </c>
    </row>
    <row r="4">
      <c r="A4" s="4" t="inlineStr">
        <is>
          <t>S01010101000000</t>
        </is>
      </c>
      <c r="B4" s="4" t="inlineStr">
        <is>
          <t>1.1. 对公一般贷款</t>
        </is>
      </c>
      <c r="C4" s="4" t="inlineStr">
        <is>
          <t>资产</t>
        </is>
      </c>
      <c r="D4" s="4" t="inlineStr">
        <is>
          <t>信贷资产</t>
        </is>
      </c>
      <c r="E4" s="4" t="inlineStr">
        <is>
          <t>信贷</t>
        </is>
      </c>
      <c r="F4" s="5" t="n">
        <v>245000</v>
      </c>
      <c r="G4" s="6" t="n">
        <v>0.04099999999999999</v>
      </c>
      <c r="H4" s="7">
        <f>F4*G4/12</f>
        <v/>
      </c>
      <c r="I4" s="7">
        <f>H4*12</f>
        <v/>
      </c>
      <c r="J4" s="7">
        <f>'②期限分布'!BO4</f>
        <v/>
      </c>
      <c r="K4" s="8">
        <f>IF(F4=0,0,('②期限分布'!BP4)/F4)</f>
        <v/>
      </c>
      <c r="L4" s="9">
        <f>IF('②期限分布'!BP4=0,0,MIN(0.98,MAX(0.1,'②期限分布'!BO4/'②期限分布'!BP4)))</f>
        <v/>
      </c>
      <c r="M4" s="10" t="n">
        <v>100</v>
      </c>
      <c r="N4" s="4" t="inlineStr">
        <is>
          <t>RSF</t>
        </is>
      </c>
      <c r="O4" s="11" t="inlineStr">
        <is>
          <t>基础数据!R7 (EJ/EL/EM)</t>
        </is>
      </c>
    </row>
    <row r="5">
      <c r="A5" s="4" t="inlineStr">
        <is>
          <t>S01010102000000</t>
        </is>
      </c>
      <c r="B5" s="4" t="inlineStr">
        <is>
          <t>1.2. 个人贷款</t>
        </is>
      </c>
      <c r="C5" s="4" t="inlineStr">
        <is>
          <t>资产</t>
        </is>
      </c>
      <c r="D5" s="4" t="inlineStr">
        <is>
          <t>信贷资产</t>
        </is>
      </c>
      <c r="E5" s="4" t="inlineStr">
        <is>
          <t>信贷</t>
        </is>
      </c>
      <c r="F5" s="5" t="n">
        <v>175000</v>
      </c>
      <c r="G5" s="6" t="n">
        <v>0.0395</v>
      </c>
      <c r="H5" s="7">
        <f>F5*G5/12</f>
        <v/>
      </c>
      <c r="I5" s="7">
        <f>H5*12</f>
        <v/>
      </c>
      <c r="J5" s="7">
        <f>'②期限分布'!BO5</f>
        <v/>
      </c>
      <c r="K5" s="8">
        <f>IF(F5=0,0,('②期限分布'!BP5)/F5)</f>
        <v/>
      </c>
      <c r="L5" s="9">
        <f>IF('②期限分布'!BP5=0,0,MIN(0.98,MAX(0.1,'②期限分布'!BO5/'②期限分布'!BP5)))</f>
        <v/>
      </c>
      <c r="M5" s="10" t="n">
        <v>55</v>
      </c>
      <c r="N5" s="4" t="inlineStr">
        <is>
          <t>RSF</t>
        </is>
      </c>
      <c r="O5" s="11" t="inlineStr">
        <is>
          <t>基础数据!R8 (EJ/EL/EM)</t>
        </is>
      </c>
    </row>
    <row r="6">
      <c r="A6" s="4" t="inlineStr">
        <is>
          <t>S01010103000000</t>
        </is>
      </c>
      <c r="B6" s="4" t="inlineStr">
        <is>
          <t>1.3. 信用卡贷款</t>
        </is>
      </c>
      <c r="C6" s="4" t="inlineStr">
        <is>
          <t>资产</t>
        </is>
      </c>
      <c r="D6" s="4" t="inlineStr">
        <is>
          <t>信贷资产</t>
        </is>
      </c>
      <c r="E6" s="4" t="inlineStr">
        <is>
          <t>信贷</t>
        </is>
      </c>
      <c r="F6" s="5" t="n">
        <v>48000</v>
      </c>
      <c r="G6" s="6" t="n">
        <v>0.12</v>
      </c>
      <c r="H6" s="7">
        <f>F6*G6/12</f>
        <v/>
      </c>
      <c r="I6" s="7">
        <f>H6*12</f>
        <v/>
      </c>
      <c r="J6" s="7">
        <f>'②期限分布'!BO6</f>
        <v/>
      </c>
      <c r="K6" s="8">
        <f>IF(F6=0,0,('②期限分布'!BP6)/F6)</f>
        <v/>
      </c>
      <c r="L6" s="9">
        <f>IF('②期限分布'!BP6=0,0,MIN(0.98,MAX(0.1,'②期限分布'!BO6/'②期限分布'!BP6)))</f>
        <v/>
      </c>
      <c r="M6" s="10" t="n">
        <v>75</v>
      </c>
      <c r="N6" s="4" t="inlineStr">
        <is>
          <t>RSF</t>
        </is>
      </c>
      <c r="O6" s="11" t="inlineStr">
        <is>
          <t>基础数据!R9 (EJ/EL/EM)</t>
        </is>
      </c>
    </row>
    <row r="7">
      <c r="A7" s="4" t="inlineStr">
        <is>
          <t>S01010104000000</t>
        </is>
      </c>
      <c r="B7" s="4" t="inlineStr">
        <is>
          <t>1.4. 票据贴现</t>
        </is>
      </c>
      <c r="C7" s="4" t="inlineStr">
        <is>
          <t>资产</t>
        </is>
      </c>
      <c r="D7" s="4" t="inlineStr">
        <is>
          <t>信贷资产</t>
        </is>
      </c>
      <c r="E7" s="4" t="inlineStr">
        <is>
          <t>信贷</t>
        </is>
      </c>
      <c r="F7" s="5" t="n">
        <v>32000</v>
      </c>
      <c r="G7" s="6" t="n">
        <v>0.025</v>
      </c>
      <c r="H7" s="7">
        <f>F7*G7/12</f>
        <v/>
      </c>
      <c r="I7" s="7">
        <f>H7*12</f>
        <v/>
      </c>
      <c r="J7" s="7">
        <f>'②期限分布'!BO7</f>
        <v/>
      </c>
      <c r="K7" s="8">
        <f>IF(F7=0,0,('②期限分布'!BP7)/F7)</f>
        <v/>
      </c>
      <c r="L7" s="9">
        <f>IF('②期限分布'!BP7=0,0,MIN(0.98,MAX(0.1,'②期限分布'!BO7/'②期限分布'!BP7)))</f>
        <v/>
      </c>
      <c r="M7" s="10" t="n">
        <v>100</v>
      </c>
      <c r="N7" s="4" t="inlineStr">
        <is>
          <t>RSF</t>
        </is>
      </c>
      <c r="O7" s="11" t="inlineStr">
        <is>
          <t>基础数据!R10 (EJ/EL/EM)</t>
        </is>
      </c>
    </row>
    <row r="8">
      <c r="A8" s="4" t="inlineStr">
        <is>
          <t>S01010105000000</t>
        </is>
      </c>
      <c r="B8" s="4" t="inlineStr">
        <is>
          <t>1.5. 非银贷款</t>
        </is>
      </c>
      <c r="C8" s="4" t="inlineStr">
        <is>
          <t>资产</t>
        </is>
      </c>
      <c r="D8" s="4" t="inlineStr">
        <is>
          <t>信贷资产</t>
        </is>
      </c>
      <c r="E8" s="4" t="inlineStr">
        <is>
          <t>信贷</t>
        </is>
      </c>
      <c r="F8" s="5" t="n">
        <v>50000</v>
      </c>
      <c r="G8" s="6" t="n">
        <v>0.045</v>
      </c>
      <c r="H8" s="7">
        <f>F8*G8/12</f>
        <v/>
      </c>
      <c r="I8" s="7">
        <f>H8*12</f>
        <v/>
      </c>
      <c r="J8" s="7">
        <f>'②期限分布'!BO8</f>
        <v/>
      </c>
      <c r="K8" s="8">
        <f>IF(F8=0,0,('②期限分布'!BP8)/F8)</f>
        <v/>
      </c>
      <c r="L8" s="9">
        <f>IF('②期限分布'!BP8=0,0,MIN(0.98,MAX(0.1,'②期限分布'!BO8/'②期限分布'!BP8)))</f>
        <v/>
      </c>
      <c r="M8" s="10" t="n">
        <v>100</v>
      </c>
      <c r="N8" s="4" t="inlineStr">
        <is>
          <t>RSF</t>
        </is>
      </c>
      <c r="O8" s="11" t="inlineStr">
        <is>
          <t>基础数据!R11 (EJ/EL/EM)</t>
        </is>
      </c>
    </row>
    <row r="9">
      <c r="A9" s="4" t="inlineStr">
        <is>
          <t>S010102010100</t>
        </is>
      </c>
      <c r="B9" s="4" t="inlineStr">
        <is>
          <t>2.1.1 金市自营债券</t>
        </is>
      </c>
      <c r="C9" s="4" t="inlineStr">
        <is>
          <t>资产</t>
        </is>
      </c>
      <c r="D9" s="4" t="inlineStr">
        <is>
          <t>债券投资</t>
        </is>
      </c>
      <c r="E9" s="4" t="inlineStr">
        <is>
          <t>投资</t>
        </is>
      </c>
      <c r="F9" s="5" t="n">
        <v>150000</v>
      </c>
      <c r="G9" s="6" t="n">
        <v>0.0255</v>
      </c>
      <c r="H9" s="7">
        <f>F9*G9/12</f>
        <v/>
      </c>
      <c r="I9" s="7">
        <f>H9*12</f>
        <v/>
      </c>
      <c r="J9" s="7">
        <f>'②期限分布'!BO9</f>
        <v/>
      </c>
      <c r="K9" s="8">
        <f>IF(F9=0,0,('②期限分布'!BP9)/F9)</f>
        <v/>
      </c>
      <c r="L9" s="9">
        <f>IF('②期限分布'!BP9=0,0,MIN(0.98,MAX(0.1,'②期限分布'!BO9/'②期限分布'!BP9)))</f>
        <v/>
      </c>
      <c r="M9" s="10" t="n">
        <v>0</v>
      </c>
      <c r="N9" s="4" t="inlineStr">
        <is>
          <t>RSF</t>
        </is>
      </c>
      <c r="O9" s="11" t="inlineStr">
        <is>
          <t>基础数据!R14 (EJ/EL/EM)</t>
        </is>
      </c>
    </row>
    <row r="10">
      <c r="A10" s="4" t="inlineStr">
        <is>
          <t>S010102010200</t>
        </is>
      </c>
      <c r="B10" s="4" t="inlineStr">
        <is>
          <t>2.1.2 司库债券</t>
        </is>
      </c>
      <c r="C10" s="4" t="inlineStr">
        <is>
          <t>资产</t>
        </is>
      </c>
      <c r="D10" s="4" t="inlineStr">
        <is>
          <t>债券投资</t>
        </is>
      </c>
      <c r="E10" s="4" t="inlineStr">
        <is>
          <t>投资</t>
        </is>
      </c>
      <c r="F10" s="5" t="n">
        <v>100000</v>
      </c>
      <c r="G10" s="6" t="n">
        <v>0.0285</v>
      </c>
      <c r="H10" s="7">
        <f>F10*G10/12</f>
        <v/>
      </c>
      <c r="I10" s="7">
        <f>H10*12</f>
        <v/>
      </c>
      <c r="J10" s="7">
        <f>'②期限分布'!BO10</f>
        <v/>
      </c>
      <c r="K10" s="8">
        <f>IF(F10=0,0,('②期限分布'!BP10)/F10)</f>
        <v/>
      </c>
      <c r="L10" s="9">
        <f>IF('②期限分布'!BP10=0,0,MIN(0.98,MAX(0.1,'②期限分布'!BO10/'②期限分布'!BP10)))</f>
        <v/>
      </c>
      <c r="M10" s="10" t="n">
        <v>25</v>
      </c>
      <c r="N10" s="4" t="inlineStr">
        <is>
          <t>RSF</t>
        </is>
      </c>
      <c r="O10" s="11" t="inlineStr">
        <is>
          <t>基础数据!R15 (EJ/EL/EM)</t>
        </is>
      </c>
    </row>
    <row r="11">
      <c r="A11" s="4" t="inlineStr">
        <is>
          <t>S01010202000000</t>
        </is>
      </c>
      <c r="B11" s="4" t="inlineStr">
        <is>
          <t>2.2. 结构化融资</t>
        </is>
      </c>
      <c r="C11" s="4" t="inlineStr">
        <is>
          <t>资产</t>
        </is>
      </c>
      <c r="D11" s="4" t="inlineStr">
        <is>
          <t>金融市场</t>
        </is>
      </c>
      <c r="E11" s="4" t="inlineStr">
        <is>
          <t>金融</t>
        </is>
      </c>
      <c r="F11" s="5" t="n">
        <v>50000</v>
      </c>
      <c r="G11" s="6" t="n">
        <v>0.038</v>
      </c>
      <c r="H11" s="7">
        <f>F11*G11/12</f>
        <v/>
      </c>
      <c r="I11" s="7">
        <f>H11*12</f>
        <v/>
      </c>
      <c r="J11" s="7">
        <f>'②期限分布'!BO11</f>
        <v/>
      </c>
      <c r="K11" s="8">
        <f>IF(F11=0,0,('②期限分布'!BP11)/F11)</f>
        <v/>
      </c>
      <c r="L11" s="9">
        <f>IF('②期限分布'!BP11=0,0,MIN(0.98,MAX(0.1,'②期限分布'!BO11/'②期限分布'!BP11)))</f>
        <v/>
      </c>
      <c r="M11" s="10" t="n">
        <v>100</v>
      </c>
      <c r="N11" s="4" t="inlineStr">
        <is>
          <t>RSF</t>
        </is>
      </c>
      <c r="O11" s="11" t="inlineStr">
        <is>
          <t>基础数据!R16 (EJ/EL/EM)</t>
        </is>
      </c>
    </row>
    <row r="12">
      <c r="A12" s="4" t="inlineStr">
        <is>
          <t>S01010203000000</t>
        </is>
      </c>
      <c r="B12" s="4" t="inlineStr">
        <is>
          <t>2.3. 同业资产（不含拆放非银）</t>
        </is>
      </c>
      <c r="C12" s="4" t="inlineStr">
        <is>
          <t>资产</t>
        </is>
      </c>
      <c r="D12" s="4" t="inlineStr">
        <is>
          <t>金融市场</t>
        </is>
      </c>
      <c r="E12" s="4" t="inlineStr">
        <is>
          <t>金融</t>
        </is>
      </c>
      <c r="F12" s="5" t="n">
        <v>70000</v>
      </c>
      <c r="G12" s="6" t="n">
        <v>0.023</v>
      </c>
      <c r="H12" s="7">
        <f>F12*G12/12</f>
        <v/>
      </c>
      <c r="I12" s="7">
        <f>H12*12</f>
        <v/>
      </c>
      <c r="J12" s="7">
        <f>'②期限分布'!BO12</f>
        <v/>
      </c>
      <c r="K12" s="8">
        <f>IF(F12=0,0,('②期限分布'!BP12)/F12)</f>
        <v/>
      </c>
      <c r="L12" s="9">
        <f>IF('②期限分布'!BP12=0,0,MIN(0.98,MAX(0.1,'②期限分布'!BO12/'②期限分布'!BP12)))</f>
        <v/>
      </c>
      <c r="M12" s="10" t="n">
        <v>20</v>
      </c>
      <c r="N12" s="4" t="inlineStr">
        <is>
          <t>RSF</t>
        </is>
      </c>
      <c r="O12" s="11" t="inlineStr">
        <is>
          <t>基础数据!R17 (EJ/EL/EM)</t>
        </is>
      </c>
    </row>
    <row r="13">
      <c r="A13" s="4" t="inlineStr">
        <is>
          <t>S01010204000000</t>
        </is>
      </c>
      <c r="B13" s="4" t="inlineStr">
        <is>
          <t>2.4. 存款准备金</t>
        </is>
      </c>
      <c r="C13" s="4" t="inlineStr">
        <is>
          <t>资产</t>
        </is>
      </c>
      <c r="D13" s="4" t="inlineStr">
        <is>
          <t>金融市场</t>
        </is>
      </c>
      <c r="E13" s="4" t="inlineStr">
        <is>
          <t>金融</t>
        </is>
      </c>
      <c r="F13" s="5" t="n">
        <v>30000</v>
      </c>
      <c r="G13" s="6" t="n">
        <v>0.0162</v>
      </c>
      <c r="H13" s="7">
        <f>F13*G13/12</f>
        <v/>
      </c>
      <c r="I13" s="7">
        <f>H13*12</f>
        <v/>
      </c>
      <c r="J13" s="7">
        <f>'②期限分布'!BO13</f>
        <v/>
      </c>
      <c r="K13" s="8">
        <f>IF(F13=0,0,('②期限分布'!BP13)/F13)</f>
        <v/>
      </c>
      <c r="L13" s="9">
        <f>IF('②期限分布'!BP13=0,0,MIN(0.98,MAX(0.1,'②期限分布'!BO13/'②期限分布'!BP13)))</f>
        <v/>
      </c>
      <c r="M13" s="10" t="n">
        <v>0</v>
      </c>
      <c r="N13" s="4" t="inlineStr">
        <is>
          <t>RSF</t>
        </is>
      </c>
      <c r="O13" s="11" t="inlineStr">
        <is>
          <t>基础数据!R18 (EJ/EL/EM)</t>
        </is>
      </c>
    </row>
    <row r="14">
      <c r="A14" s="4" t="inlineStr">
        <is>
          <t>S01010301000000</t>
        </is>
      </c>
      <c r="B14" s="4" t="inlineStr">
        <is>
          <t>3.1. FVTPL类资产</t>
        </is>
      </c>
      <c r="C14" s="4" t="inlineStr">
        <is>
          <t>资产</t>
        </is>
      </c>
      <c r="D14" s="4" t="inlineStr">
        <is>
          <t>非生息资产</t>
        </is>
      </c>
      <c r="E14" s="4" t="inlineStr">
        <is>
          <t>非息</t>
        </is>
      </c>
      <c r="F14" s="5" t="n">
        <v>30000</v>
      </c>
      <c r="G14" s="6" t="n">
        <v>0.032</v>
      </c>
      <c r="H14" s="7">
        <f>F14*G14/12</f>
        <v/>
      </c>
      <c r="I14" s="7">
        <f>H14*12</f>
        <v/>
      </c>
      <c r="J14" s="7">
        <f>'②期限分布'!BO14</f>
        <v/>
      </c>
      <c r="K14" s="8">
        <f>IF(F14=0,0,('②期限分布'!BP14)/F14)</f>
        <v/>
      </c>
      <c r="L14" s="9">
        <f>IF('②期限分布'!BP14=0,0,MIN(0.98,MAX(0.1,'②期限分布'!BO14/'②期限分布'!BP14)))</f>
        <v/>
      </c>
      <c r="M14" s="10" t="n">
        <v>100</v>
      </c>
      <c r="N14" s="4" t="inlineStr">
        <is>
          <t>RSF</t>
        </is>
      </c>
      <c r="O14" s="11" t="inlineStr">
        <is>
          <t>基础数据!R20 (EJ/EL/EM)</t>
        </is>
      </c>
    </row>
    <row r="15">
      <c r="A15" s="4" t="inlineStr">
        <is>
          <t>S01010302000000</t>
        </is>
      </c>
      <c r="B15" s="4" t="inlineStr">
        <is>
          <t>3.2. 其他非生息资产</t>
        </is>
      </c>
      <c r="C15" s="4" t="inlineStr">
        <is>
          <t>资产</t>
        </is>
      </c>
      <c r="D15" s="4" t="inlineStr">
        <is>
          <t>非生息资产</t>
        </is>
      </c>
      <c r="E15" s="4" t="inlineStr">
        <is>
          <t>非息</t>
        </is>
      </c>
      <c r="F15" s="5" t="n">
        <v>20000</v>
      </c>
      <c r="G15" s="6" t="n">
        <v>0</v>
      </c>
      <c r="H15" s="7">
        <f>F15*G15/12</f>
        <v/>
      </c>
      <c r="I15" s="7">
        <f>H15*12</f>
        <v/>
      </c>
      <c r="J15" s="7">
        <f>'②期限分布'!BO15</f>
        <v/>
      </c>
      <c r="K15" s="8">
        <f>IF(F15=0,0,('②期限分布'!BP15)/F15)</f>
        <v/>
      </c>
      <c r="L15" s="9">
        <f>IF('②期限分布'!BP15=0,0,MIN(0.98,MAX(0.1,'②期限分布'!BO15/'②期限分布'!BP15)))</f>
        <v/>
      </c>
      <c r="M15" s="10" t="n">
        <v>50</v>
      </c>
      <c r="N15" s="4" t="inlineStr">
        <is>
          <t>RSF</t>
        </is>
      </c>
      <c r="O15" s="11" t="inlineStr">
        <is>
          <t>基础数据!R21 (EJ/EL/EM)</t>
        </is>
      </c>
    </row>
    <row r="16">
      <c r="A16" s="4" t="inlineStr">
        <is>
          <t>S01020100000000</t>
        </is>
      </c>
      <c r="B16" s="4" t="inlineStr">
        <is>
          <t>1. 外币贷款</t>
        </is>
      </c>
      <c r="C16" s="4" t="inlineStr">
        <is>
          <t>资产</t>
        </is>
      </c>
      <c r="D16" s="4" t="inlineStr">
        <is>
          <t>外币资产</t>
        </is>
      </c>
      <c r="E16" s="4" t="inlineStr">
        <is>
          <t>外币</t>
        </is>
      </c>
      <c r="F16" s="5" t="n">
        <v>40000</v>
      </c>
      <c r="G16" s="6" t="n">
        <v>0.048</v>
      </c>
      <c r="H16" s="7">
        <f>F16*G16/12</f>
        <v/>
      </c>
      <c r="I16" s="7">
        <f>H16*12</f>
        <v/>
      </c>
      <c r="J16" s="7">
        <f>'②期限分布'!BO16</f>
        <v/>
      </c>
      <c r="K16" s="8">
        <f>IF(F16=0,0,('②期限分布'!BP16)/F16)</f>
        <v/>
      </c>
      <c r="L16" s="9">
        <f>IF('②期限分布'!BP16=0,0,MIN(0.98,MAX(0.1,'②期限分布'!BO16/'②期限分布'!BP16)))</f>
        <v/>
      </c>
      <c r="M16" s="10" t="n">
        <v>100</v>
      </c>
      <c r="N16" s="4" t="inlineStr">
        <is>
          <t>RSF</t>
        </is>
      </c>
      <c r="O16" s="11" t="inlineStr">
        <is>
          <t>基础数据!R23 (EJ/EL/EM)</t>
        </is>
      </c>
    </row>
    <row r="17">
      <c r="A17" s="4" t="inlineStr">
        <is>
          <t>S01020201000000</t>
        </is>
      </c>
      <c r="B17" s="4" t="inlineStr">
        <is>
          <t>2.1. 外币债券</t>
        </is>
      </c>
      <c r="C17" s="4" t="inlineStr">
        <is>
          <t>资产</t>
        </is>
      </c>
      <c r="D17" s="4" t="inlineStr">
        <is>
          <t>外币资产</t>
        </is>
      </c>
      <c r="E17" s="4" t="inlineStr">
        <is>
          <t>外币</t>
        </is>
      </c>
      <c r="F17" s="5" t="n">
        <v>20000</v>
      </c>
      <c r="G17" s="6" t="n">
        <v>0.035</v>
      </c>
      <c r="H17" s="7">
        <f>F17*G17/12</f>
        <v/>
      </c>
      <c r="I17" s="7">
        <f>H17*12</f>
        <v/>
      </c>
      <c r="J17" s="7">
        <f>'②期限分布'!BO17</f>
        <v/>
      </c>
      <c r="K17" s="8">
        <f>IF(F17=0,0,('②期限分布'!BP17)/F17)</f>
        <v/>
      </c>
      <c r="L17" s="9">
        <f>IF('②期限分布'!BP17=0,0,MIN(0.98,MAX(0.1,'②期限分布'!BO17/'②期限分布'!BP17)))</f>
        <v/>
      </c>
      <c r="M17" s="10" t="n">
        <v>50</v>
      </c>
      <c r="N17" s="4" t="inlineStr">
        <is>
          <t>RSF</t>
        </is>
      </c>
      <c r="O17" s="11" t="inlineStr">
        <is>
          <t>基础数据!R25 (EJ/EL/EM)</t>
        </is>
      </c>
    </row>
    <row r="18">
      <c r="A18" s="4" t="inlineStr">
        <is>
          <t>S01020202000000</t>
        </is>
      </c>
      <c r="B18" s="4" t="inlineStr">
        <is>
          <t>2.2. 同业资产</t>
        </is>
      </c>
      <c r="C18" s="4" t="inlineStr">
        <is>
          <t>资产</t>
        </is>
      </c>
      <c r="D18" s="4" t="inlineStr">
        <is>
          <t>金融市场</t>
        </is>
      </c>
      <c r="E18" s="4" t="inlineStr">
        <is>
          <t>金融</t>
        </is>
      </c>
      <c r="F18" s="5" t="n">
        <v>10000</v>
      </c>
      <c r="G18" s="6" t="n">
        <v>0.043</v>
      </c>
      <c r="H18" s="7">
        <f>F18*G18/12</f>
        <v/>
      </c>
      <c r="I18" s="7">
        <f>H18*12</f>
        <v/>
      </c>
      <c r="J18" s="7">
        <f>'②期限分布'!BO18</f>
        <v/>
      </c>
      <c r="K18" s="8">
        <f>IF(F18=0,0,('②期限分布'!BP18)/F18)</f>
        <v/>
      </c>
      <c r="L18" s="9">
        <f>IF('②期限分布'!BP18=0,0,MIN(0.98,MAX(0.1,'②期限分布'!BO18/'②期限分布'!BP18)))</f>
        <v/>
      </c>
      <c r="M18" s="10" t="n">
        <v>20</v>
      </c>
      <c r="N18" s="4" t="inlineStr">
        <is>
          <t>RSF</t>
        </is>
      </c>
      <c r="O18" s="11" t="inlineStr">
        <is>
          <t>基础数据!R26 (EJ/EL/EM)</t>
        </is>
      </c>
    </row>
    <row r="19">
      <c r="A19" s="4" t="inlineStr">
        <is>
          <t>S01020300000000</t>
        </is>
      </c>
      <c r="B19" s="4" t="inlineStr">
        <is>
          <t>3. 外币非生息资产</t>
        </is>
      </c>
      <c r="C19" s="4" t="inlineStr">
        <is>
          <t>资产</t>
        </is>
      </c>
      <c r="D19" s="4" t="inlineStr">
        <is>
          <t>外币资产</t>
        </is>
      </c>
      <c r="E19" s="4" t="inlineStr">
        <is>
          <t>外币</t>
        </is>
      </c>
      <c r="F19" s="5" t="n">
        <v>10000</v>
      </c>
      <c r="G19" s="6" t="n">
        <v>0</v>
      </c>
      <c r="H19" s="7">
        <f>F19*G19/12</f>
        <v/>
      </c>
      <c r="I19" s="7">
        <f>H19*12</f>
        <v/>
      </c>
      <c r="J19" s="7">
        <f>'②期限分布'!BO19</f>
        <v/>
      </c>
      <c r="K19" s="8">
        <f>IF(F19=0,0,('②期限分布'!BP19)/F19)</f>
        <v/>
      </c>
      <c r="L19" s="9">
        <f>IF('②期限分布'!BP19=0,0,MIN(0.98,MAX(0.1,'②期限分布'!BO19/'②期限分布'!BP19)))</f>
        <v/>
      </c>
      <c r="M19" s="10" t="n">
        <v>50</v>
      </c>
      <c r="N19" s="4" t="inlineStr">
        <is>
          <t>RSF</t>
        </is>
      </c>
      <c r="O19" s="11" t="inlineStr">
        <is>
          <t>基础数据!R27 (EJ/EL/EM)</t>
        </is>
      </c>
    </row>
    <row r="20">
      <c r="A20" s="12" t="inlineStr">
        <is>
          <t>S020101010100</t>
        </is>
      </c>
      <c r="B20" s="12" t="inlineStr">
        <is>
          <t>1.1.1 对公活期存款</t>
        </is>
      </c>
      <c r="C20" s="12" t="inlineStr">
        <is>
          <t>负债</t>
        </is>
      </c>
      <c r="D20" s="12" t="inlineStr">
        <is>
          <t>活期存款</t>
        </is>
      </c>
      <c r="E20" s="12" t="inlineStr">
        <is>
          <t>活期</t>
        </is>
      </c>
      <c r="F20" s="5" t="n">
        <v>260000</v>
      </c>
      <c r="G20" s="6" t="n">
        <v>0.002</v>
      </c>
      <c r="H20" s="13">
        <f>F20*G20/12</f>
        <v/>
      </c>
      <c r="I20" s="13">
        <f>H20*12</f>
        <v/>
      </c>
      <c r="J20" s="13">
        <f>'②期限分布'!BO20</f>
        <v/>
      </c>
      <c r="K20" s="14">
        <f>IF(F20=0,0,('②期限分布'!BP20)/F20)</f>
        <v/>
      </c>
      <c r="L20" s="9">
        <f>IF('②期限分布'!BP20=0,0,MIN(0.98,MAX(0.1,'②期限分布'!BO20/'②期限分布'!BP20)))</f>
        <v/>
      </c>
      <c r="M20" s="15" t="n">
        <v>0</v>
      </c>
      <c r="N20" s="12" t="inlineStr">
        <is>
          <t>RSF</t>
        </is>
      </c>
      <c r="O20" s="16" t="inlineStr">
        <is>
          <t>基础数据!R33 (EJ/EL/EM)</t>
        </is>
      </c>
    </row>
    <row r="21">
      <c r="A21" s="12" t="inlineStr">
        <is>
          <t>S020101010200</t>
        </is>
      </c>
      <c r="B21" s="12" t="inlineStr">
        <is>
          <t>1.1.2 对公定期存款</t>
        </is>
      </c>
      <c r="C21" s="12" t="inlineStr">
        <is>
          <t>负债</t>
        </is>
      </c>
      <c r="D21" s="12" t="inlineStr">
        <is>
          <t>定期存款</t>
        </is>
      </c>
      <c r="E21" s="12" t="inlineStr">
        <is>
          <t>定期</t>
        </is>
      </c>
      <c r="F21" s="5" t="n">
        <v>220000</v>
      </c>
      <c r="G21" s="6" t="n">
        <v>0.0185</v>
      </c>
      <c r="H21" s="13">
        <f>F21*G21/12</f>
        <v/>
      </c>
      <c r="I21" s="13">
        <f>H21*12</f>
        <v/>
      </c>
      <c r="J21" s="13">
        <f>'②期限分布'!BO21</f>
        <v/>
      </c>
      <c r="K21" s="14">
        <f>IF(F21=0,0,('②期限分布'!BP21)/F21)</f>
        <v/>
      </c>
      <c r="L21" s="9">
        <f>IF('②期限分布'!BP21=0,0,MIN(0.98,MAX(0.1,'②期限分布'!BO21/'②期限分布'!BP21)))</f>
        <v/>
      </c>
      <c r="M21" s="15" t="n">
        <v>0</v>
      </c>
      <c r="N21" s="12" t="inlineStr">
        <is>
          <t>RSF</t>
        </is>
      </c>
      <c r="O21" s="16" t="inlineStr">
        <is>
          <t>基础数据!R34 (EJ/EL/EM)</t>
        </is>
      </c>
    </row>
    <row r="22">
      <c r="A22" s="12" t="inlineStr">
        <is>
          <t>S020101020100</t>
        </is>
      </c>
      <c r="B22" s="12" t="inlineStr">
        <is>
          <t>1.2.1 零售活期存款</t>
        </is>
      </c>
      <c r="C22" s="12" t="inlineStr">
        <is>
          <t>负债</t>
        </is>
      </c>
      <c r="D22" s="12" t="inlineStr">
        <is>
          <t>活期存款</t>
        </is>
      </c>
      <c r="E22" s="12" t="inlineStr">
        <is>
          <t>活期</t>
        </is>
      </c>
      <c r="F22" s="5" t="n">
        <v>120000</v>
      </c>
      <c r="G22" s="6" t="n">
        <v>0.002</v>
      </c>
      <c r="H22" s="13">
        <f>F22*G22/12</f>
        <v/>
      </c>
      <c r="I22" s="13">
        <f>H22*12</f>
        <v/>
      </c>
      <c r="J22" s="13">
        <f>'②期限分布'!BO22</f>
        <v/>
      </c>
      <c r="K22" s="14">
        <f>IF(F22=0,0,('②期限分布'!BP22)/F22)</f>
        <v/>
      </c>
      <c r="L22" s="9">
        <f>IF('②期限分布'!BP22=0,0,MIN(0.98,MAX(0.1,'②期限分布'!BO22/'②期限分布'!BP22)))</f>
        <v/>
      </c>
      <c r="M22" s="15" t="n">
        <v>0</v>
      </c>
      <c r="N22" s="12" t="inlineStr">
        <is>
          <t>RSF</t>
        </is>
      </c>
      <c r="O22" s="16" t="inlineStr">
        <is>
          <t>基础数据!R36 (EJ/EL/EM)</t>
        </is>
      </c>
    </row>
    <row r="23">
      <c r="A23" s="12" t="inlineStr">
        <is>
          <t>S020101020200</t>
        </is>
      </c>
      <c r="B23" s="12" t="inlineStr">
        <is>
          <t>1.2.2 零售定期存款</t>
        </is>
      </c>
      <c r="C23" s="12" t="inlineStr">
        <is>
          <t>负债</t>
        </is>
      </c>
      <c r="D23" s="12" t="inlineStr">
        <is>
          <t>定期存款</t>
        </is>
      </c>
      <c r="E23" s="12" t="inlineStr">
        <is>
          <t>定期</t>
        </is>
      </c>
      <c r="F23" s="5" t="n">
        <v>200000</v>
      </c>
      <c r="G23" s="6" t="n">
        <v>0.0195</v>
      </c>
      <c r="H23" s="13">
        <f>F23*G23/12</f>
        <v/>
      </c>
      <c r="I23" s="13">
        <f>H23*12</f>
        <v/>
      </c>
      <c r="J23" s="13">
        <f>'②期限分布'!BO23</f>
        <v/>
      </c>
      <c r="K23" s="14">
        <f>IF(F23=0,0,('②期限分布'!BP23)/F23)</f>
        <v/>
      </c>
      <c r="L23" s="9">
        <f>IF('②期限分布'!BP23=0,0,MIN(0.98,MAX(0.1,'②期限分布'!BO23/'②期限分布'!BP23)))</f>
        <v/>
      </c>
      <c r="M23" s="15" t="n">
        <v>0</v>
      </c>
      <c r="N23" s="12" t="inlineStr">
        <is>
          <t>RSF</t>
        </is>
      </c>
      <c r="O23" s="16" t="inlineStr">
        <is>
          <t>基础数据!R37 (EJ/EL/EM)</t>
        </is>
      </c>
    </row>
    <row r="24">
      <c r="A24" s="12" t="inlineStr">
        <is>
          <t>S02010200000000</t>
        </is>
      </c>
      <c r="B24" s="12" t="inlineStr">
        <is>
          <t>2. 人民币市场化负债</t>
        </is>
      </c>
      <c r="C24" s="12" t="inlineStr">
        <is>
          <t>负债</t>
        </is>
      </c>
      <c r="D24" s="12" t="inlineStr">
        <is>
          <t>市场化负债</t>
        </is>
      </c>
      <c r="E24" s="12" t="inlineStr">
        <is>
          <t>同业</t>
        </is>
      </c>
      <c r="F24" s="5" t="n">
        <v>120000</v>
      </c>
      <c r="G24" s="6" t="n">
        <v>0.025</v>
      </c>
      <c r="H24" s="13">
        <f>F24*G24/12</f>
        <v/>
      </c>
      <c r="I24" s="13">
        <f>H24*12</f>
        <v/>
      </c>
      <c r="J24" s="13">
        <f>'②期限分布'!BO24</f>
        <v/>
      </c>
      <c r="K24" s="14">
        <f>IF(F24=0,0,('②期限分布'!BP24)/F24)</f>
        <v/>
      </c>
      <c r="L24" s="9">
        <f>IF('②期限分布'!BP24=0,0,MIN(0.98,MAX(0.1,'②期限分布'!BO24/'②期限分布'!BP24)))</f>
        <v/>
      </c>
      <c r="M24" s="15" t="n">
        <v>0</v>
      </c>
      <c r="N24" s="12" t="inlineStr">
        <is>
          <t>RSF</t>
        </is>
      </c>
      <c r="O24" s="16" t="inlineStr">
        <is>
          <t>基础数据!R38 (EJ/EL/EM)</t>
        </is>
      </c>
    </row>
    <row r="25">
      <c r="A25" s="12" t="inlineStr">
        <is>
          <t>S02020100000000</t>
        </is>
      </c>
      <c r="B25" s="12" t="inlineStr">
        <is>
          <t>1. 外币存款</t>
        </is>
      </c>
      <c r="C25" s="12" t="inlineStr">
        <is>
          <t>负债</t>
        </is>
      </c>
      <c r="D25" s="12" t="inlineStr">
        <is>
          <t>外币负债</t>
        </is>
      </c>
      <c r="E25" s="12" t="inlineStr">
        <is>
          <t>外币</t>
        </is>
      </c>
      <c r="F25" s="5" t="n">
        <v>40000</v>
      </c>
      <c r="G25" s="6" t="n">
        <v>0.018</v>
      </c>
      <c r="H25" s="13">
        <f>F25*G25/12</f>
        <v/>
      </c>
      <c r="I25" s="13">
        <f>H25*12</f>
        <v/>
      </c>
      <c r="J25" s="13">
        <f>'②期限分布'!BO25</f>
        <v/>
      </c>
      <c r="K25" s="14">
        <f>IF(F25=0,0,('②期限分布'!BP25)/F25)</f>
        <v/>
      </c>
      <c r="L25" s="9">
        <f>IF('②期限分布'!BP25=0,0,MIN(0.98,MAX(0.1,'②期限分布'!BO25/'②期限分布'!BP25)))</f>
        <v/>
      </c>
      <c r="M25" s="15" t="n">
        <v>0</v>
      </c>
      <c r="N25" s="12" t="inlineStr">
        <is>
          <t>RSF</t>
        </is>
      </c>
      <c r="O25" s="16" t="inlineStr">
        <is>
          <t>基础数据!R40 (EJ/EL/EM)</t>
        </is>
      </c>
    </row>
    <row r="26">
      <c r="A26" s="12" t="inlineStr">
        <is>
          <t>S02020200000000</t>
        </is>
      </c>
      <c r="B26" s="12" t="inlineStr">
        <is>
          <t>2. 外币市场化负债</t>
        </is>
      </c>
      <c r="C26" s="12" t="inlineStr">
        <is>
          <t>负债</t>
        </is>
      </c>
      <c r="D26" s="12" t="inlineStr">
        <is>
          <t>外币负债</t>
        </is>
      </c>
      <c r="E26" s="12" t="inlineStr">
        <is>
          <t>外币</t>
        </is>
      </c>
      <c r="F26" s="5" t="n">
        <v>20000</v>
      </c>
      <c r="G26" s="6" t="n">
        <v>0.035</v>
      </c>
      <c r="H26" s="13">
        <f>F26*G26/12</f>
        <v/>
      </c>
      <c r="I26" s="13">
        <f>H26*12</f>
        <v/>
      </c>
      <c r="J26" s="13">
        <f>'②期限分布'!BO26</f>
        <v/>
      </c>
      <c r="K26" s="14">
        <f>IF(F26=0,0,('②期限分布'!BP26)/F26)</f>
        <v/>
      </c>
      <c r="L26" s="9">
        <f>IF('②期限分布'!BP26=0,0,MIN(0.98,MAX(0.1,'②期限分布'!BO26/'②期限分布'!BP26)))</f>
        <v/>
      </c>
      <c r="M26" s="15" t="n">
        <v>0</v>
      </c>
      <c r="N26" s="12" t="inlineStr">
        <is>
          <t>RSF</t>
        </is>
      </c>
      <c r="O26" s="16" t="inlineStr">
        <is>
          <t>基础数据!R41 (EJ/EL/EM)</t>
        </is>
      </c>
    </row>
    <row r="27">
      <c r="A27" s="12" t="inlineStr">
        <is>
          <t>S03000000000000</t>
        </is>
      </c>
      <c r="B27" s="12" t="inlineStr">
        <is>
          <t>所有者权益</t>
        </is>
      </c>
      <c r="C27" s="12" t="inlineStr">
        <is>
          <t>权益</t>
        </is>
      </c>
      <c r="D27" s="12" t="inlineStr">
        <is>
          <t>权益</t>
        </is>
      </c>
      <c r="E27" s="12" t="inlineStr">
        <is>
          <t>权益</t>
        </is>
      </c>
      <c r="F27" s="5" t="n">
        <v>100000</v>
      </c>
      <c r="G27" s="6" t="n">
        <v>0</v>
      </c>
      <c r="H27" s="13">
        <f>F27*G27/12</f>
        <v/>
      </c>
      <c r="I27" s="13">
        <f>H27*12</f>
        <v/>
      </c>
      <c r="J27" s="13">
        <f>'②期限分布'!BO27</f>
        <v/>
      </c>
      <c r="K27" s="14">
        <f>IF(F27=0,0,('②期限分布'!BP27)/F27)</f>
        <v/>
      </c>
      <c r="L27" s="9">
        <f>IF('②期限分布'!BP27=0,0,MIN(0.98,MAX(0.1,'②期限分布'!BO27/'②期限分布'!BP27)))</f>
        <v/>
      </c>
      <c r="M27" s="15" t="n">
        <v>0</v>
      </c>
      <c r="N27" s="12" t="inlineStr">
        <is>
          <t>RSF</t>
        </is>
      </c>
      <c r="O27" s="16" t="inlineStr">
        <is>
          <t>基础数据!R43 (EJ/EL/EM)</t>
        </is>
      </c>
    </row>
    <row r="28">
      <c r="A28" s="17" t="n"/>
      <c r="B28" s="18" t="inlineStr">
        <is>
          <t>合计 / 加权平均</t>
        </is>
      </c>
      <c r="C28" s="17" t="n"/>
      <c r="D28" s="17" t="n"/>
      <c r="E28" s="17" t="n"/>
      <c r="F28" s="19">
        <f>SUM(F4:F27)</f>
        <v/>
      </c>
      <c r="G28" s="20">
        <f>IF(F28=0,0,SUMPRODUCT($F$4:$F$27,$G$4:$G$27)/F28)</f>
        <v/>
      </c>
      <c r="H28" s="19">
        <f>SUM(H4:H27)</f>
        <v/>
      </c>
      <c r="I28" s="19">
        <f>SUM(I4:I27)</f>
        <v/>
      </c>
      <c r="J28" s="19">
        <f>SUM('②期限分布'!BO4:BO27)</f>
        <v/>
      </c>
      <c r="K28" s="21">
        <f>IF(F28=0,0,SUM('②期限分布'!BP4:BP27)/F28)</f>
        <v/>
      </c>
      <c r="L28" s="19">
        <f>SUMPRODUCT($F$4:$F$27,$L$4:$L$27)</f>
        <v/>
      </c>
      <c r="M28" s="17" t="n"/>
      <c r="N28" s="17" t="n"/>
      <c r="O28" s="22" t="inlineStr">
        <is>
          <t>L 列 = Σ(余额 × β) 全行重定价敞口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4" customWidth="1" min="67" max="67"/>
    <col width="14" customWidth="1" min="68" max="68"/>
    <col width="13" customWidth="1" min="69" max="69"/>
    <col width="11" customWidth="1" min="70" max="70"/>
  </cols>
  <sheetData>
    <row r="1">
      <c r="A1" s="1" t="inlineStr">
        <is>
          <t>② 剩余期限分布（64 桶，等额分期偿还结构）— 取自 prcp_basic_20251231.xlsx BX~EI 列</t>
        </is>
      </c>
    </row>
    <row r="2">
      <c r="A2" s="2" t="inlineStr">
        <is>
          <t>桶口径：1M~60M 月度 + 10Y/15Y/20Y/30Y 年端  |  资产端非零桶为前 16 个（等额分期），活期存款 3 桶（3 个月内），定期/市场化负债 12 桶（12 个月内）  |  Σ分布 ≤ 当前余额，差额为未到期续作本金（资产端覆盖 53.07%，负债端 99.98%）</t>
        </is>
      </c>
    </row>
    <row r="3" ht="42" customHeight="1">
      <c r="A3" s="23" t="inlineStr">
        <is>
          <t>账户编码</t>
        </is>
      </c>
      <c r="B3" s="23" t="inlineStr">
        <is>
          <t>账户名称</t>
        </is>
      </c>
      <c r="C3" s="3" t="inlineStr">
        <is>
          <t>1M</t>
        </is>
      </c>
      <c r="D3" s="3" t="inlineStr">
        <is>
          <t>2M</t>
        </is>
      </c>
      <c r="E3" s="3" t="inlineStr">
        <is>
          <t>3M</t>
        </is>
      </c>
      <c r="F3" s="3" t="inlineStr">
        <is>
          <t>4M</t>
        </is>
      </c>
      <c r="G3" s="3" t="inlineStr">
        <is>
          <t>5M</t>
        </is>
      </c>
      <c r="H3" s="3" t="inlineStr">
        <is>
          <t>6M</t>
        </is>
      </c>
      <c r="I3" s="3" t="inlineStr">
        <is>
          <t>7M</t>
        </is>
      </c>
      <c r="J3" s="3" t="inlineStr">
        <is>
          <t>8M</t>
        </is>
      </c>
      <c r="K3" s="3" t="inlineStr">
        <is>
          <t>9M</t>
        </is>
      </c>
      <c r="L3" s="3" t="inlineStr">
        <is>
          <t>10M</t>
        </is>
      </c>
      <c r="M3" s="3" t="inlineStr">
        <is>
          <t>11M</t>
        </is>
      </c>
      <c r="N3" s="3" t="inlineStr">
        <is>
          <t>12M</t>
        </is>
      </c>
      <c r="O3" s="3" t="inlineStr">
        <is>
          <t>13M</t>
        </is>
      </c>
      <c r="P3" s="3" t="inlineStr">
        <is>
          <t>14M</t>
        </is>
      </c>
      <c r="Q3" s="3" t="inlineStr">
        <is>
          <t>15M</t>
        </is>
      </c>
      <c r="R3" s="3" t="inlineStr">
        <is>
          <t>16M</t>
        </is>
      </c>
      <c r="S3" s="3" t="inlineStr">
        <is>
          <t>17M</t>
        </is>
      </c>
      <c r="T3" s="3" t="inlineStr">
        <is>
          <t>18M</t>
        </is>
      </c>
      <c r="U3" s="3" t="inlineStr">
        <is>
          <t>19M</t>
        </is>
      </c>
      <c r="V3" s="3" t="inlineStr">
        <is>
          <t>20M</t>
        </is>
      </c>
      <c r="W3" s="3" t="inlineStr">
        <is>
          <t>21M</t>
        </is>
      </c>
      <c r="X3" s="3" t="inlineStr">
        <is>
          <t>22M</t>
        </is>
      </c>
      <c r="Y3" s="3" t="inlineStr">
        <is>
          <t>23M</t>
        </is>
      </c>
      <c r="Z3" s="3" t="inlineStr">
        <is>
          <t>24M</t>
        </is>
      </c>
      <c r="AA3" s="3" t="inlineStr">
        <is>
          <t>25M</t>
        </is>
      </c>
      <c r="AB3" s="3" t="inlineStr">
        <is>
          <t>26M</t>
        </is>
      </c>
      <c r="AC3" s="3" t="inlineStr">
        <is>
          <t>27M</t>
        </is>
      </c>
      <c r="AD3" s="3" t="inlineStr">
        <is>
          <t>28M</t>
        </is>
      </c>
      <c r="AE3" s="3" t="inlineStr">
        <is>
          <t>29M</t>
        </is>
      </c>
      <c r="AF3" s="3" t="inlineStr">
        <is>
          <t>30M</t>
        </is>
      </c>
      <c r="AG3" s="3" t="inlineStr">
        <is>
          <t>31M</t>
        </is>
      </c>
      <c r="AH3" s="3" t="inlineStr">
        <is>
          <t>32M</t>
        </is>
      </c>
      <c r="AI3" s="3" t="inlineStr">
        <is>
          <t>33M</t>
        </is>
      </c>
      <c r="AJ3" s="3" t="inlineStr">
        <is>
          <t>34M</t>
        </is>
      </c>
      <c r="AK3" s="3" t="inlineStr">
        <is>
          <t>35M</t>
        </is>
      </c>
      <c r="AL3" s="3" t="inlineStr">
        <is>
          <t>36M</t>
        </is>
      </c>
      <c r="AM3" s="3" t="inlineStr">
        <is>
          <t>37M</t>
        </is>
      </c>
      <c r="AN3" s="3" t="inlineStr">
        <is>
          <t>38M</t>
        </is>
      </c>
      <c r="AO3" s="3" t="inlineStr">
        <is>
          <t>39M</t>
        </is>
      </c>
      <c r="AP3" s="3" t="inlineStr">
        <is>
          <t>40M</t>
        </is>
      </c>
      <c r="AQ3" s="3" t="inlineStr">
        <is>
          <t>41M</t>
        </is>
      </c>
      <c r="AR3" s="3" t="inlineStr">
        <is>
          <t>42M</t>
        </is>
      </c>
      <c r="AS3" s="3" t="inlineStr">
        <is>
          <t>43M</t>
        </is>
      </c>
      <c r="AT3" s="3" t="inlineStr">
        <is>
          <t>44M</t>
        </is>
      </c>
      <c r="AU3" s="3" t="inlineStr">
        <is>
          <t>45M</t>
        </is>
      </c>
      <c r="AV3" s="3" t="inlineStr">
        <is>
          <t>46M</t>
        </is>
      </c>
      <c r="AW3" s="3" t="inlineStr">
        <is>
          <t>47M</t>
        </is>
      </c>
      <c r="AX3" s="3" t="inlineStr">
        <is>
          <t>48M</t>
        </is>
      </c>
      <c r="AY3" s="3" t="inlineStr">
        <is>
          <t>49M</t>
        </is>
      </c>
      <c r="AZ3" s="3" t="inlineStr">
        <is>
          <t>50M</t>
        </is>
      </c>
      <c r="BA3" s="3" t="inlineStr">
        <is>
          <t>51M</t>
        </is>
      </c>
      <c r="BB3" s="3" t="inlineStr">
        <is>
          <t>52M</t>
        </is>
      </c>
      <c r="BC3" s="3" t="inlineStr">
        <is>
          <t>53M</t>
        </is>
      </c>
      <c r="BD3" s="3" t="inlineStr">
        <is>
          <t>54M</t>
        </is>
      </c>
      <c r="BE3" s="3" t="inlineStr">
        <is>
          <t>55M</t>
        </is>
      </c>
      <c r="BF3" s="3" t="inlineStr">
        <is>
          <t>56M</t>
        </is>
      </c>
      <c r="BG3" s="3" t="inlineStr">
        <is>
          <t>57M</t>
        </is>
      </c>
      <c r="BH3" s="3" t="inlineStr">
        <is>
          <t>58M</t>
        </is>
      </c>
      <c r="BI3" s="3" t="inlineStr">
        <is>
          <t>59M</t>
        </is>
      </c>
      <c r="BJ3" s="3" t="inlineStr">
        <is>
          <t>60M</t>
        </is>
      </c>
      <c r="BK3" s="3" t="inlineStr">
        <is>
          <t>10Y</t>
        </is>
      </c>
      <c r="BL3" s="3" t="inlineStr">
        <is>
          <t>15Y</t>
        </is>
      </c>
      <c r="BM3" s="3" t="inlineStr">
        <is>
          <t>20Y</t>
        </is>
      </c>
      <c r="BN3" s="3" t="inlineStr">
        <is>
          <t>30Y</t>
        </is>
      </c>
      <c r="BO3" s="3" t="inlineStr">
        <is>
          <t>1年内到期
(1M~12M)</t>
        </is>
      </c>
      <c r="BP3" s="3" t="inlineStr">
        <is>
          <t>Σ 分布合计</t>
        </is>
      </c>
      <c r="BQ3" s="3" t="inlineStr">
        <is>
          <t>当前余额</t>
        </is>
      </c>
      <c r="BR3" s="3" t="inlineStr">
        <is>
          <t>覆盖率</t>
        </is>
      </c>
    </row>
    <row r="4">
      <c r="A4" s="24" t="inlineStr">
        <is>
          <t>S01010101000000</t>
        </is>
      </c>
      <c r="B4" s="24" t="inlineStr">
        <is>
          <t>1.1. 对公一般贷款</t>
        </is>
      </c>
      <c r="C4" s="25" t="n">
        <v>5733</v>
      </c>
      <c r="D4" s="25" t="n">
        <v>5733</v>
      </c>
      <c r="E4" s="25" t="n">
        <v>5733</v>
      </c>
      <c r="F4" s="25" t="n">
        <v>5733</v>
      </c>
      <c r="G4" s="25" t="n">
        <v>5733</v>
      </c>
      <c r="H4" s="25" t="n">
        <v>5733</v>
      </c>
      <c r="I4" s="25" t="n">
        <v>5733</v>
      </c>
      <c r="J4" s="25" t="n">
        <v>5733</v>
      </c>
      <c r="K4" s="25" t="n">
        <v>5733</v>
      </c>
      <c r="L4" s="25" t="n">
        <v>5733</v>
      </c>
      <c r="M4" s="25" t="n">
        <v>5733</v>
      </c>
      <c r="N4" s="25" t="n">
        <v>5733</v>
      </c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  <c r="AY4" s="26" t="n"/>
      <c r="AZ4" s="26" t="n"/>
      <c r="BA4" s="26" t="n"/>
      <c r="BB4" s="26" t="n"/>
      <c r="BC4" s="26" t="n"/>
      <c r="BD4" s="26" t="n"/>
      <c r="BE4" s="26" t="n"/>
      <c r="BF4" s="26" t="n"/>
      <c r="BG4" s="26" t="n"/>
      <c r="BH4" s="26" t="n"/>
      <c r="BI4" s="26" t="n"/>
      <c r="BJ4" s="26" t="n"/>
      <c r="BK4" s="25" t="n">
        <v>30625</v>
      </c>
      <c r="BL4" s="25" t="n">
        <v>15312.5</v>
      </c>
      <c r="BM4" s="25" t="n">
        <v>7644</v>
      </c>
      <c r="BN4" s="25" t="n">
        <v>7644</v>
      </c>
      <c r="BO4" s="27">
        <f>SUM(C4:N4)</f>
        <v/>
      </c>
      <c r="BP4" s="27">
        <f>SUM(C4:BN4)</f>
        <v/>
      </c>
      <c r="BQ4" s="27">
        <f>'①数据源'!F4</f>
        <v/>
      </c>
      <c r="BR4" s="28">
        <f>IF(BQ4=0,0,BP4/BQ4)</f>
        <v/>
      </c>
    </row>
    <row r="5">
      <c r="A5" s="24" t="inlineStr">
        <is>
          <t>S01010102000000</t>
        </is>
      </c>
      <c r="B5" s="24" t="inlineStr">
        <is>
          <t>1.2. 个人贷款</t>
        </is>
      </c>
      <c r="C5" s="25" t="n">
        <v>4095</v>
      </c>
      <c r="D5" s="25" t="n">
        <v>4095</v>
      </c>
      <c r="E5" s="25" t="n">
        <v>4095</v>
      </c>
      <c r="F5" s="25" t="n">
        <v>4095</v>
      </c>
      <c r="G5" s="25" t="n">
        <v>4095</v>
      </c>
      <c r="H5" s="25" t="n">
        <v>4095</v>
      </c>
      <c r="I5" s="25" t="n">
        <v>4095</v>
      </c>
      <c r="J5" s="25" t="n">
        <v>4095</v>
      </c>
      <c r="K5" s="25" t="n">
        <v>4095</v>
      </c>
      <c r="L5" s="25" t="n">
        <v>4095</v>
      </c>
      <c r="M5" s="25" t="n">
        <v>4095</v>
      </c>
      <c r="N5" s="25" t="n">
        <v>4095</v>
      </c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5" t="n">
        <v>21875</v>
      </c>
      <c r="BL5" s="25" t="n">
        <v>10937.5</v>
      </c>
      <c r="BM5" s="25" t="n">
        <v>5460</v>
      </c>
      <c r="BN5" s="25" t="n">
        <v>5460</v>
      </c>
      <c r="BO5" s="27">
        <f>SUM(C5:N5)</f>
        <v/>
      </c>
      <c r="BP5" s="27">
        <f>SUM(C5:BN5)</f>
        <v/>
      </c>
      <c r="BQ5" s="27">
        <f>'①数据源'!F5</f>
        <v/>
      </c>
      <c r="BR5" s="28">
        <f>IF(BQ5=0,0,BP5/BQ5)</f>
        <v/>
      </c>
    </row>
    <row r="6">
      <c r="A6" s="24" t="inlineStr">
        <is>
          <t>S01010103000000</t>
        </is>
      </c>
      <c r="B6" s="24" t="inlineStr">
        <is>
          <t>1.3. 信用卡贷款</t>
        </is>
      </c>
      <c r="C6" s="25" t="n">
        <v>1123.2</v>
      </c>
      <c r="D6" s="25" t="n">
        <v>1123.2</v>
      </c>
      <c r="E6" s="25" t="n">
        <v>1123.2</v>
      </c>
      <c r="F6" s="25" t="n">
        <v>1123.2</v>
      </c>
      <c r="G6" s="25" t="n">
        <v>1123.2</v>
      </c>
      <c r="H6" s="25" t="n">
        <v>1123.2</v>
      </c>
      <c r="I6" s="25" t="n">
        <v>1123.2</v>
      </c>
      <c r="J6" s="25" t="n">
        <v>1123.2</v>
      </c>
      <c r="K6" s="25" t="n">
        <v>1123.2</v>
      </c>
      <c r="L6" s="25" t="n">
        <v>1123.2</v>
      </c>
      <c r="M6" s="25" t="n">
        <v>1123.2</v>
      </c>
      <c r="N6" s="25" t="n">
        <v>1123.2</v>
      </c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  <c r="AY6" s="26" t="n"/>
      <c r="AZ6" s="26" t="n"/>
      <c r="BA6" s="26" t="n"/>
      <c r="BB6" s="26" t="n"/>
      <c r="BC6" s="26" t="n"/>
      <c r="BD6" s="26" t="n"/>
      <c r="BE6" s="26" t="n"/>
      <c r="BF6" s="26" t="n"/>
      <c r="BG6" s="26" t="n"/>
      <c r="BH6" s="26" t="n"/>
      <c r="BI6" s="26" t="n"/>
      <c r="BJ6" s="26" t="n"/>
      <c r="BK6" s="25" t="n">
        <v>6000</v>
      </c>
      <c r="BL6" s="25" t="n">
        <v>3000</v>
      </c>
      <c r="BM6" s="25" t="n">
        <v>1497.6</v>
      </c>
      <c r="BN6" s="25" t="n">
        <v>1497.6</v>
      </c>
      <c r="BO6" s="27">
        <f>SUM(C6:N6)</f>
        <v/>
      </c>
      <c r="BP6" s="27">
        <f>SUM(C6:BN6)</f>
        <v/>
      </c>
      <c r="BQ6" s="27">
        <f>'①数据源'!F6</f>
        <v/>
      </c>
      <c r="BR6" s="28">
        <f>IF(BQ6=0,0,BP6/BQ6)</f>
        <v/>
      </c>
    </row>
    <row r="7">
      <c r="A7" s="24" t="inlineStr">
        <is>
          <t>S01010104000000</t>
        </is>
      </c>
      <c r="B7" s="24" t="inlineStr">
        <is>
          <t>1.4. 票据贴现</t>
        </is>
      </c>
      <c r="C7" s="25" t="n">
        <v>748.8</v>
      </c>
      <c r="D7" s="25" t="n">
        <v>748.8</v>
      </c>
      <c r="E7" s="25" t="n">
        <v>748.8</v>
      </c>
      <c r="F7" s="25" t="n">
        <v>748.8</v>
      </c>
      <c r="G7" s="25" t="n">
        <v>748.8</v>
      </c>
      <c r="H7" s="25" t="n">
        <v>748.8</v>
      </c>
      <c r="I7" s="25" t="n">
        <v>748.8</v>
      </c>
      <c r="J7" s="25" t="n">
        <v>748.8</v>
      </c>
      <c r="K7" s="25" t="n">
        <v>748.8</v>
      </c>
      <c r="L7" s="25" t="n">
        <v>748.8</v>
      </c>
      <c r="M7" s="25" t="n">
        <v>748.8</v>
      </c>
      <c r="N7" s="25" t="n">
        <v>748.8</v>
      </c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5" t="n">
        <v>4000</v>
      </c>
      <c r="BL7" s="25" t="n">
        <v>2000</v>
      </c>
      <c r="BM7" s="25" t="n">
        <v>998.4</v>
      </c>
      <c r="BN7" s="25" t="n">
        <v>998.4</v>
      </c>
      <c r="BO7" s="27">
        <f>SUM(C7:N7)</f>
        <v/>
      </c>
      <c r="BP7" s="27">
        <f>SUM(C7:BN7)</f>
        <v/>
      </c>
      <c r="BQ7" s="27">
        <f>'①数据源'!F7</f>
        <v/>
      </c>
      <c r="BR7" s="28">
        <f>IF(BQ7=0,0,BP7/BQ7)</f>
        <v/>
      </c>
    </row>
    <row r="8">
      <c r="A8" s="24" t="inlineStr">
        <is>
          <t>S01010105000000</t>
        </is>
      </c>
      <c r="B8" s="24" t="inlineStr">
        <is>
          <t>1.5. 非银贷款</t>
        </is>
      </c>
      <c r="C8" s="25" t="n">
        <v>1170</v>
      </c>
      <c r="D8" s="25" t="n">
        <v>1170</v>
      </c>
      <c r="E8" s="25" t="n">
        <v>1170</v>
      </c>
      <c r="F8" s="25" t="n">
        <v>1170</v>
      </c>
      <c r="G8" s="25" t="n">
        <v>1170</v>
      </c>
      <c r="H8" s="25" t="n">
        <v>1170</v>
      </c>
      <c r="I8" s="25" t="n">
        <v>1170</v>
      </c>
      <c r="J8" s="25" t="n">
        <v>1170</v>
      </c>
      <c r="K8" s="25" t="n">
        <v>1170</v>
      </c>
      <c r="L8" s="25" t="n">
        <v>1170</v>
      </c>
      <c r="M8" s="25" t="n">
        <v>1170</v>
      </c>
      <c r="N8" s="25" t="n">
        <v>1170</v>
      </c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6" t="n"/>
      <c r="BE8" s="26" t="n"/>
      <c r="BF8" s="26" t="n"/>
      <c r="BG8" s="26" t="n"/>
      <c r="BH8" s="26" t="n"/>
      <c r="BI8" s="26" t="n"/>
      <c r="BJ8" s="26" t="n"/>
      <c r="BK8" s="25" t="n">
        <v>6250</v>
      </c>
      <c r="BL8" s="25" t="n">
        <v>3125</v>
      </c>
      <c r="BM8" s="25" t="n">
        <v>1560</v>
      </c>
      <c r="BN8" s="25" t="n">
        <v>1560</v>
      </c>
      <c r="BO8" s="27">
        <f>SUM(C8:N8)</f>
        <v/>
      </c>
      <c r="BP8" s="27">
        <f>SUM(C8:BN8)</f>
        <v/>
      </c>
      <c r="BQ8" s="27">
        <f>'①数据源'!F8</f>
        <v/>
      </c>
      <c r="BR8" s="28">
        <f>IF(BQ8=0,0,BP8/BQ8)</f>
        <v/>
      </c>
    </row>
    <row r="9">
      <c r="A9" s="24" t="inlineStr">
        <is>
          <t>S010102010100</t>
        </is>
      </c>
      <c r="B9" s="24" t="inlineStr">
        <is>
          <t>2.1.1 金市自营债券</t>
        </is>
      </c>
      <c r="C9" s="25" t="n">
        <v>3510</v>
      </c>
      <c r="D9" s="25" t="n">
        <v>3510</v>
      </c>
      <c r="E9" s="25" t="n">
        <v>3510</v>
      </c>
      <c r="F9" s="25" t="n">
        <v>3510</v>
      </c>
      <c r="G9" s="25" t="n">
        <v>3510</v>
      </c>
      <c r="H9" s="25" t="n">
        <v>3510</v>
      </c>
      <c r="I9" s="25" t="n">
        <v>3510</v>
      </c>
      <c r="J9" s="25" t="n">
        <v>3510</v>
      </c>
      <c r="K9" s="25" t="n">
        <v>3510</v>
      </c>
      <c r="L9" s="25" t="n">
        <v>3510</v>
      </c>
      <c r="M9" s="25" t="n">
        <v>3510</v>
      </c>
      <c r="N9" s="25" t="n">
        <v>3510</v>
      </c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5" t="n">
        <v>18750</v>
      </c>
      <c r="BL9" s="25" t="n">
        <v>9375</v>
      </c>
      <c r="BM9" s="25" t="n">
        <v>4680</v>
      </c>
      <c r="BN9" s="25" t="n">
        <v>4680</v>
      </c>
      <c r="BO9" s="27">
        <f>SUM(C9:N9)</f>
        <v/>
      </c>
      <c r="BP9" s="27">
        <f>SUM(C9:BN9)</f>
        <v/>
      </c>
      <c r="BQ9" s="27">
        <f>'①数据源'!F9</f>
        <v/>
      </c>
      <c r="BR9" s="28">
        <f>IF(BQ9=0,0,BP9/BQ9)</f>
        <v/>
      </c>
    </row>
    <row r="10">
      <c r="A10" s="24" t="inlineStr">
        <is>
          <t>S010102010200</t>
        </is>
      </c>
      <c r="B10" s="24" t="inlineStr">
        <is>
          <t>2.1.2 司库债券</t>
        </is>
      </c>
      <c r="C10" s="25" t="n">
        <v>2340</v>
      </c>
      <c r="D10" s="25" t="n">
        <v>2340</v>
      </c>
      <c r="E10" s="25" t="n">
        <v>2340</v>
      </c>
      <c r="F10" s="25" t="n">
        <v>2340</v>
      </c>
      <c r="G10" s="25" t="n">
        <v>2340</v>
      </c>
      <c r="H10" s="25" t="n">
        <v>2340</v>
      </c>
      <c r="I10" s="25" t="n">
        <v>2340</v>
      </c>
      <c r="J10" s="25" t="n">
        <v>2340</v>
      </c>
      <c r="K10" s="25" t="n">
        <v>2340</v>
      </c>
      <c r="L10" s="25" t="n">
        <v>2340</v>
      </c>
      <c r="M10" s="25" t="n">
        <v>2340</v>
      </c>
      <c r="N10" s="25" t="n">
        <v>2340</v>
      </c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6" t="n"/>
      <c r="BE10" s="26" t="n"/>
      <c r="BF10" s="26" t="n"/>
      <c r="BG10" s="26" t="n"/>
      <c r="BH10" s="26" t="n"/>
      <c r="BI10" s="26" t="n"/>
      <c r="BJ10" s="26" t="n"/>
      <c r="BK10" s="25" t="n">
        <v>12500</v>
      </c>
      <c r="BL10" s="25" t="n">
        <v>6250</v>
      </c>
      <c r="BM10" s="25" t="n">
        <v>3120</v>
      </c>
      <c r="BN10" s="25" t="n">
        <v>3120</v>
      </c>
      <c r="BO10" s="27">
        <f>SUM(C10:N10)</f>
        <v/>
      </c>
      <c r="BP10" s="27">
        <f>SUM(C10:BN10)</f>
        <v/>
      </c>
      <c r="BQ10" s="27">
        <f>'①数据源'!F10</f>
        <v/>
      </c>
      <c r="BR10" s="28">
        <f>IF(BQ10=0,0,BP10/BQ10)</f>
        <v/>
      </c>
    </row>
    <row r="11">
      <c r="A11" s="24" t="inlineStr">
        <is>
          <t>S01010202000000</t>
        </is>
      </c>
      <c r="B11" s="24" t="inlineStr">
        <is>
          <t>2.2. 结构化融资</t>
        </is>
      </c>
      <c r="C11" s="25" t="n">
        <v>1170</v>
      </c>
      <c r="D11" s="25" t="n">
        <v>1170</v>
      </c>
      <c r="E11" s="25" t="n">
        <v>1170</v>
      </c>
      <c r="F11" s="25" t="n">
        <v>1170</v>
      </c>
      <c r="G11" s="25" t="n">
        <v>1170</v>
      </c>
      <c r="H11" s="25" t="n">
        <v>1170</v>
      </c>
      <c r="I11" s="25" t="n">
        <v>1170</v>
      </c>
      <c r="J11" s="25" t="n">
        <v>1170</v>
      </c>
      <c r="K11" s="25" t="n">
        <v>1170</v>
      </c>
      <c r="L11" s="25" t="n">
        <v>1170</v>
      </c>
      <c r="M11" s="25" t="n">
        <v>1170</v>
      </c>
      <c r="N11" s="25" t="n">
        <v>1170</v>
      </c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5" t="n">
        <v>6250</v>
      </c>
      <c r="BL11" s="25" t="n">
        <v>3125</v>
      </c>
      <c r="BM11" s="25" t="n">
        <v>1560</v>
      </c>
      <c r="BN11" s="25" t="n">
        <v>1560</v>
      </c>
      <c r="BO11" s="27">
        <f>SUM(C11:N11)</f>
        <v/>
      </c>
      <c r="BP11" s="27">
        <f>SUM(C11:BN11)</f>
        <v/>
      </c>
      <c r="BQ11" s="27">
        <f>'①数据源'!F11</f>
        <v/>
      </c>
      <c r="BR11" s="28">
        <f>IF(BQ11=0,0,BP11/BQ11)</f>
        <v/>
      </c>
    </row>
    <row r="12">
      <c r="A12" s="24" t="inlineStr">
        <is>
          <t>S01010203000000</t>
        </is>
      </c>
      <c r="B12" s="24" t="inlineStr">
        <is>
          <t>2.3. 同业资产（不含拆放非银）</t>
        </is>
      </c>
      <c r="C12" s="25" t="n">
        <v>1638</v>
      </c>
      <c r="D12" s="25" t="n">
        <v>1638</v>
      </c>
      <c r="E12" s="25" t="n">
        <v>1638</v>
      </c>
      <c r="F12" s="25" t="n">
        <v>1638</v>
      </c>
      <c r="G12" s="25" t="n">
        <v>1638</v>
      </c>
      <c r="H12" s="25" t="n">
        <v>1638</v>
      </c>
      <c r="I12" s="25" t="n">
        <v>1638</v>
      </c>
      <c r="J12" s="25" t="n">
        <v>1638</v>
      </c>
      <c r="K12" s="25" t="n">
        <v>1638</v>
      </c>
      <c r="L12" s="25" t="n">
        <v>1638</v>
      </c>
      <c r="M12" s="25" t="n">
        <v>1638</v>
      </c>
      <c r="N12" s="25" t="n">
        <v>1638</v>
      </c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5" t="n">
        <v>8750</v>
      </c>
      <c r="BL12" s="25" t="n">
        <v>4375</v>
      </c>
      <c r="BM12" s="25" t="n">
        <v>2184</v>
      </c>
      <c r="BN12" s="25" t="n">
        <v>2184</v>
      </c>
      <c r="BO12" s="27">
        <f>SUM(C12:N12)</f>
        <v/>
      </c>
      <c r="BP12" s="27">
        <f>SUM(C12:BN12)</f>
        <v/>
      </c>
      <c r="BQ12" s="27">
        <f>'①数据源'!F12</f>
        <v/>
      </c>
      <c r="BR12" s="28">
        <f>IF(BQ12=0,0,BP12/BQ12)</f>
        <v/>
      </c>
    </row>
    <row r="13">
      <c r="A13" s="24" t="inlineStr">
        <is>
          <t>S01010204000000</t>
        </is>
      </c>
      <c r="B13" s="24" t="inlineStr">
        <is>
          <t>2.4. 存款准备金</t>
        </is>
      </c>
      <c r="C13" s="25" t="n">
        <v>702</v>
      </c>
      <c r="D13" s="25" t="n">
        <v>702</v>
      </c>
      <c r="E13" s="25" t="n">
        <v>702</v>
      </c>
      <c r="F13" s="25" t="n">
        <v>702</v>
      </c>
      <c r="G13" s="25" t="n">
        <v>702</v>
      </c>
      <c r="H13" s="25" t="n">
        <v>702</v>
      </c>
      <c r="I13" s="25" t="n">
        <v>702</v>
      </c>
      <c r="J13" s="25" t="n">
        <v>702</v>
      </c>
      <c r="K13" s="25" t="n">
        <v>702</v>
      </c>
      <c r="L13" s="25" t="n">
        <v>702</v>
      </c>
      <c r="M13" s="25" t="n">
        <v>702</v>
      </c>
      <c r="N13" s="25" t="n">
        <v>702</v>
      </c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  <c r="BK13" s="25" t="n">
        <v>3750</v>
      </c>
      <c r="BL13" s="25" t="n">
        <v>1875</v>
      </c>
      <c r="BM13" s="25" t="n">
        <v>936</v>
      </c>
      <c r="BN13" s="25" t="n">
        <v>936</v>
      </c>
      <c r="BO13" s="27">
        <f>SUM(C13:N13)</f>
        <v/>
      </c>
      <c r="BP13" s="27">
        <f>SUM(C13:BN13)</f>
        <v/>
      </c>
      <c r="BQ13" s="27">
        <f>'①数据源'!F13</f>
        <v/>
      </c>
      <c r="BR13" s="28">
        <f>IF(BQ13=0,0,BP13/BQ13)</f>
        <v/>
      </c>
    </row>
    <row r="14">
      <c r="A14" s="24" t="inlineStr">
        <is>
          <t>S01010301000000</t>
        </is>
      </c>
      <c r="B14" s="24" t="inlineStr">
        <is>
          <t>3.1. FVTPL类资产</t>
        </is>
      </c>
      <c r="C14" s="25" t="n">
        <v>702</v>
      </c>
      <c r="D14" s="25" t="n">
        <v>702</v>
      </c>
      <c r="E14" s="25" t="n">
        <v>702</v>
      </c>
      <c r="F14" s="25" t="n">
        <v>702</v>
      </c>
      <c r="G14" s="25" t="n">
        <v>702</v>
      </c>
      <c r="H14" s="25" t="n">
        <v>702</v>
      </c>
      <c r="I14" s="25" t="n">
        <v>702</v>
      </c>
      <c r="J14" s="25" t="n">
        <v>702</v>
      </c>
      <c r="K14" s="25" t="n">
        <v>702</v>
      </c>
      <c r="L14" s="25" t="n">
        <v>702</v>
      </c>
      <c r="M14" s="25" t="n">
        <v>702</v>
      </c>
      <c r="N14" s="25" t="n">
        <v>702</v>
      </c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6" t="n"/>
      <c r="BE14" s="26" t="n"/>
      <c r="BF14" s="26" t="n"/>
      <c r="BG14" s="26" t="n"/>
      <c r="BH14" s="26" t="n"/>
      <c r="BI14" s="26" t="n"/>
      <c r="BJ14" s="26" t="n"/>
      <c r="BK14" s="25" t="n">
        <v>3750</v>
      </c>
      <c r="BL14" s="25" t="n">
        <v>1875</v>
      </c>
      <c r="BM14" s="25" t="n">
        <v>936</v>
      </c>
      <c r="BN14" s="25" t="n">
        <v>936</v>
      </c>
      <c r="BO14" s="27">
        <f>SUM(C14:N14)</f>
        <v/>
      </c>
      <c r="BP14" s="27">
        <f>SUM(C14:BN14)</f>
        <v/>
      </c>
      <c r="BQ14" s="27">
        <f>'①数据源'!F14</f>
        <v/>
      </c>
      <c r="BR14" s="28">
        <f>IF(BQ14=0,0,BP14/BQ14)</f>
        <v/>
      </c>
    </row>
    <row r="15">
      <c r="A15" s="24" t="inlineStr">
        <is>
          <t>S01010302000000</t>
        </is>
      </c>
      <c r="B15" s="24" t="inlineStr">
        <is>
          <t>3.2. 其他非生息资产</t>
        </is>
      </c>
      <c r="C15" s="25" t="n">
        <v>468</v>
      </c>
      <c r="D15" s="25" t="n">
        <v>468</v>
      </c>
      <c r="E15" s="25" t="n">
        <v>468</v>
      </c>
      <c r="F15" s="25" t="n">
        <v>468</v>
      </c>
      <c r="G15" s="25" t="n">
        <v>468</v>
      </c>
      <c r="H15" s="25" t="n">
        <v>468</v>
      </c>
      <c r="I15" s="25" t="n">
        <v>468</v>
      </c>
      <c r="J15" s="25" t="n">
        <v>468</v>
      </c>
      <c r="K15" s="25" t="n">
        <v>468</v>
      </c>
      <c r="L15" s="25" t="n">
        <v>468</v>
      </c>
      <c r="M15" s="25" t="n">
        <v>468</v>
      </c>
      <c r="N15" s="25" t="n">
        <v>468</v>
      </c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6" t="n"/>
      <c r="BE15" s="26" t="n"/>
      <c r="BF15" s="26" t="n"/>
      <c r="BG15" s="26" t="n"/>
      <c r="BH15" s="26" t="n"/>
      <c r="BI15" s="26" t="n"/>
      <c r="BJ15" s="26" t="n"/>
      <c r="BK15" s="25" t="n">
        <v>2500</v>
      </c>
      <c r="BL15" s="25" t="n">
        <v>1250</v>
      </c>
      <c r="BM15" s="25" t="n">
        <v>624</v>
      </c>
      <c r="BN15" s="25" t="n">
        <v>624</v>
      </c>
      <c r="BO15" s="27">
        <f>SUM(C15:N15)</f>
        <v/>
      </c>
      <c r="BP15" s="27">
        <f>SUM(C15:BN15)</f>
        <v/>
      </c>
      <c r="BQ15" s="27">
        <f>'①数据源'!F15</f>
        <v/>
      </c>
      <c r="BR15" s="28">
        <f>IF(BQ15=0,0,BP15/BQ15)</f>
        <v/>
      </c>
    </row>
    <row r="16">
      <c r="A16" s="24" t="inlineStr">
        <is>
          <t>S01020100000000</t>
        </is>
      </c>
      <c r="B16" s="24" t="inlineStr">
        <is>
          <t>1. 外币贷款</t>
        </is>
      </c>
      <c r="C16" s="25" t="n">
        <v>936</v>
      </c>
      <c r="D16" s="25" t="n">
        <v>936</v>
      </c>
      <c r="E16" s="25" t="n">
        <v>936</v>
      </c>
      <c r="F16" s="25" t="n">
        <v>936</v>
      </c>
      <c r="G16" s="25" t="n">
        <v>936</v>
      </c>
      <c r="H16" s="25" t="n">
        <v>936</v>
      </c>
      <c r="I16" s="25" t="n">
        <v>936</v>
      </c>
      <c r="J16" s="25" t="n">
        <v>936</v>
      </c>
      <c r="K16" s="25" t="n">
        <v>936</v>
      </c>
      <c r="L16" s="25" t="n">
        <v>936</v>
      </c>
      <c r="M16" s="25" t="n">
        <v>936</v>
      </c>
      <c r="N16" s="25" t="n">
        <v>936</v>
      </c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6" t="n"/>
      <c r="BE16" s="26" t="n"/>
      <c r="BF16" s="26" t="n"/>
      <c r="BG16" s="26" t="n"/>
      <c r="BH16" s="26" t="n"/>
      <c r="BI16" s="26" t="n"/>
      <c r="BJ16" s="26" t="n"/>
      <c r="BK16" s="25" t="n">
        <v>5000</v>
      </c>
      <c r="BL16" s="25" t="n">
        <v>2500</v>
      </c>
      <c r="BM16" s="25" t="n">
        <v>1248</v>
      </c>
      <c r="BN16" s="25" t="n">
        <v>1248</v>
      </c>
      <c r="BO16" s="27">
        <f>SUM(C16:N16)</f>
        <v/>
      </c>
      <c r="BP16" s="27">
        <f>SUM(C16:BN16)</f>
        <v/>
      </c>
      <c r="BQ16" s="27">
        <f>'①数据源'!F16</f>
        <v/>
      </c>
      <c r="BR16" s="28">
        <f>IF(BQ16=0,0,BP16/BQ16)</f>
        <v/>
      </c>
    </row>
    <row r="17">
      <c r="A17" s="24" t="inlineStr">
        <is>
          <t>S01020201000000</t>
        </is>
      </c>
      <c r="B17" s="24" t="inlineStr">
        <is>
          <t>2.1. 外币债券</t>
        </is>
      </c>
      <c r="C17" s="25" t="n">
        <v>468</v>
      </c>
      <c r="D17" s="25" t="n">
        <v>468</v>
      </c>
      <c r="E17" s="25" t="n">
        <v>468</v>
      </c>
      <c r="F17" s="25" t="n">
        <v>468</v>
      </c>
      <c r="G17" s="25" t="n">
        <v>468</v>
      </c>
      <c r="H17" s="25" t="n">
        <v>468</v>
      </c>
      <c r="I17" s="25" t="n">
        <v>468</v>
      </c>
      <c r="J17" s="25" t="n">
        <v>468</v>
      </c>
      <c r="K17" s="25" t="n">
        <v>468</v>
      </c>
      <c r="L17" s="25" t="n">
        <v>468</v>
      </c>
      <c r="M17" s="25" t="n">
        <v>468</v>
      </c>
      <c r="N17" s="25" t="n">
        <v>468</v>
      </c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6" t="n"/>
      <c r="BE17" s="26" t="n"/>
      <c r="BF17" s="26" t="n"/>
      <c r="BG17" s="26" t="n"/>
      <c r="BH17" s="26" t="n"/>
      <c r="BI17" s="26" t="n"/>
      <c r="BJ17" s="26" t="n"/>
      <c r="BK17" s="25" t="n">
        <v>2500</v>
      </c>
      <c r="BL17" s="25" t="n">
        <v>1250</v>
      </c>
      <c r="BM17" s="25" t="n">
        <v>624</v>
      </c>
      <c r="BN17" s="25" t="n">
        <v>624</v>
      </c>
      <c r="BO17" s="27">
        <f>SUM(C17:N17)</f>
        <v/>
      </c>
      <c r="BP17" s="27">
        <f>SUM(C17:BN17)</f>
        <v/>
      </c>
      <c r="BQ17" s="27">
        <f>'①数据源'!F17</f>
        <v/>
      </c>
      <c r="BR17" s="28">
        <f>IF(BQ17=0,0,BP17/BQ17)</f>
        <v/>
      </c>
    </row>
    <row r="18">
      <c r="A18" s="24" t="inlineStr">
        <is>
          <t>S01020202000000</t>
        </is>
      </c>
      <c r="B18" s="24" t="inlineStr">
        <is>
          <t>2.2. 同业资产</t>
        </is>
      </c>
      <c r="C18" s="25" t="n">
        <v>234</v>
      </c>
      <c r="D18" s="25" t="n">
        <v>234</v>
      </c>
      <c r="E18" s="25" t="n">
        <v>234</v>
      </c>
      <c r="F18" s="25" t="n">
        <v>234</v>
      </c>
      <c r="G18" s="25" t="n">
        <v>234</v>
      </c>
      <c r="H18" s="25" t="n">
        <v>234</v>
      </c>
      <c r="I18" s="25" t="n">
        <v>234</v>
      </c>
      <c r="J18" s="25" t="n">
        <v>234</v>
      </c>
      <c r="K18" s="25" t="n">
        <v>234</v>
      </c>
      <c r="L18" s="25" t="n">
        <v>234</v>
      </c>
      <c r="M18" s="25" t="n">
        <v>234</v>
      </c>
      <c r="N18" s="25" t="n">
        <v>234</v>
      </c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6" t="n"/>
      <c r="BE18" s="26" t="n"/>
      <c r="BF18" s="26" t="n"/>
      <c r="BG18" s="26" t="n"/>
      <c r="BH18" s="26" t="n"/>
      <c r="BI18" s="26" t="n"/>
      <c r="BJ18" s="26" t="n"/>
      <c r="BK18" s="25" t="n">
        <v>1250</v>
      </c>
      <c r="BL18" s="25" t="n">
        <v>625</v>
      </c>
      <c r="BM18" s="25" t="n">
        <v>312</v>
      </c>
      <c r="BN18" s="25" t="n">
        <v>312</v>
      </c>
      <c r="BO18" s="27">
        <f>SUM(C18:N18)</f>
        <v/>
      </c>
      <c r="BP18" s="27">
        <f>SUM(C18:BN18)</f>
        <v/>
      </c>
      <c r="BQ18" s="27">
        <f>'①数据源'!F18</f>
        <v/>
      </c>
      <c r="BR18" s="28">
        <f>IF(BQ18=0,0,BP18/BQ18)</f>
        <v/>
      </c>
    </row>
    <row r="19">
      <c r="A19" s="24" t="inlineStr">
        <is>
          <t>S01020300000000</t>
        </is>
      </c>
      <c r="B19" s="24" t="inlineStr">
        <is>
          <t>3. 外币非生息资产</t>
        </is>
      </c>
      <c r="C19" s="25" t="n">
        <v>234</v>
      </c>
      <c r="D19" s="25" t="n">
        <v>234</v>
      </c>
      <c r="E19" s="25" t="n">
        <v>234</v>
      </c>
      <c r="F19" s="25" t="n">
        <v>234</v>
      </c>
      <c r="G19" s="25" t="n">
        <v>234</v>
      </c>
      <c r="H19" s="25" t="n">
        <v>234</v>
      </c>
      <c r="I19" s="25" t="n">
        <v>234</v>
      </c>
      <c r="J19" s="25" t="n">
        <v>234</v>
      </c>
      <c r="K19" s="25" t="n">
        <v>234</v>
      </c>
      <c r="L19" s="25" t="n">
        <v>234</v>
      </c>
      <c r="M19" s="25" t="n">
        <v>234</v>
      </c>
      <c r="N19" s="25" t="n">
        <v>234</v>
      </c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6" t="n"/>
      <c r="BE19" s="26" t="n"/>
      <c r="BF19" s="26" t="n"/>
      <c r="BG19" s="26" t="n"/>
      <c r="BH19" s="26" t="n"/>
      <c r="BI19" s="26" t="n"/>
      <c r="BJ19" s="26" t="n"/>
      <c r="BK19" s="25" t="n">
        <v>1250</v>
      </c>
      <c r="BL19" s="25" t="n">
        <v>625</v>
      </c>
      <c r="BM19" s="25" t="n">
        <v>312</v>
      </c>
      <c r="BN19" s="25" t="n">
        <v>312</v>
      </c>
      <c r="BO19" s="27">
        <f>SUM(C19:N19)</f>
        <v/>
      </c>
      <c r="BP19" s="27">
        <f>SUM(C19:BN19)</f>
        <v/>
      </c>
      <c r="BQ19" s="27">
        <f>'①数据源'!F19</f>
        <v/>
      </c>
      <c r="BR19" s="28">
        <f>IF(BQ19=0,0,BP19/BQ19)</f>
        <v/>
      </c>
    </row>
    <row r="20">
      <c r="A20" s="24" t="inlineStr">
        <is>
          <t>S020101010100</t>
        </is>
      </c>
      <c r="B20" s="24" t="inlineStr">
        <is>
          <t>1.1.1 对公活期存款</t>
        </is>
      </c>
      <c r="C20" s="25" t="n">
        <v>130000</v>
      </c>
      <c r="D20" s="25" t="n">
        <v>78000</v>
      </c>
      <c r="E20" s="25" t="n">
        <v>52000</v>
      </c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  <c r="AS20" s="29" t="n"/>
      <c r="AT20" s="29" t="n"/>
      <c r="AU20" s="29" t="n"/>
      <c r="AV20" s="29" t="n"/>
      <c r="AW20" s="29" t="n"/>
      <c r="AX20" s="29" t="n"/>
      <c r="AY20" s="29" t="n"/>
      <c r="AZ20" s="29" t="n"/>
      <c r="BA20" s="29" t="n"/>
      <c r="BB20" s="29" t="n"/>
      <c r="BC20" s="29" t="n"/>
      <c r="BD20" s="29" t="n"/>
      <c r="BE20" s="29" t="n"/>
      <c r="BF20" s="29" t="n"/>
      <c r="BG20" s="29" t="n"/>
      <c r="BH20" s="29" t="n"/>
      <c r="BI20" s="29" t="n"/>
      <c r="BJ20" s="29" t="n"/>
      <c r="BK20" s="29" t="n"/>
      <c r="BL20" s="29" t="n"/>
      <c r="BM20" s="29" t="n"/>
      <c r="BN20" s="29" t="n"/>
      <c r="BO20" s="27">
        <f>SUM(C20:N20)</f>
        <v/>
      </c>
      <c r="BP20" s="27">
        <f>SUM(C20:BN20)</f>
        <v/>
      </c>
      <c r="BQ20" s="27">
        <f>'①数据源'!F20</f>
        <v/>
      </c>
      <c r="BR20" s="28">
        <f>IF(BQ20=0,0,BP20/BQ20)</f>
        <v/>
      </c>
    </row>
    <row r="21">
      <c r="A21" s="24" t="inlineStr">
        <is>
          <t>S020101010200</t>
        </is>
      </c>
      <c r="B21" s="24" t="inlineStr">
        <is>
          <t>1.1.2 对公定期存款</t>
        </is>
      </c>
      <c r="C21" s="25" t="n">
        <v>38830</v>
      </c>
      <c r="D21" s="25" t="n">
        <v>38830</v>
      </c>
      <c r="E21" s="25" t="n">
        <v>25872</v>
      </c>
      <c r="F21" s="25" t="n">
        <v>12936</v>
      </c>
      <c r="G21" s="25" t="n">
        <v>12936</v>
      </c>
      <c r="H21" s="25" t="n">
        <v>12936</v>
      </c>
      <c r="I21" s="25" t="n">
        <v>12936</v>
      </c>
      <c r="J21" s="25" t="n">
        <v>12936</v>
      </c>
      <c r="K21" s="25" t="n">
        <v>12936</v>
      </c>
      <c r="L21" s="25" t="n">
        <v>12936</v>
      </c>
      <c r="M21" s="25" t="n">
        <v>12936</v>
      </c>
      <c r="N21" s="25" t="n">
        <v>12936</v>
      </c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29" t="n"/>
      <c r="AX21" s="29" t="n"/>
      <c r="AY21" s="29" t="n"/>
      <c r="AZ21" s="29" t="n"/>
      <c r="BA21" s="29" t="n"/>
      <c r="BB21" s="29" t="n"/>
      <c r="BC21" s="29" t="n"/>
      <c r="BD21" s="29" t="n"/>
      <c r="BE21" s="29" t="n"/>
      <c r="BF21" s="29" t="n"/>
      <c r="BG21" s="29" t="n"/>
      <c r="BH21" s="29" t="n"/>
      <c r="BI21" s="29" t="n"/>
      <c r="BJ21" s="29" t="n"/>
      <c r="BK21" s="29" t="n"/>
      <c r="BL21" s="29" t="n"/>
      <c r="BM21" s="29" t="n"/>
      <c r="BN21" s="29" t="n"/>
      <c r="BO21" s="27">
        <f>SUM(C21:N21)</f>
        <v/>
      </c>
      <c r="BP21" s="27">
        <f>SUM(C21:BN21)</f>
        <v/>
      </c>
      <c r="BQ21" s="27">
        <f>'①数据源'!F21</f>
        <v/>
      </c>
      <c r="BR21" s="28">
        <f>IF(BQ21=0,0,BP21/BQ21)</f>
        <v/>
      </c>
    </row>
    <row r="22">
      <c r="A22" s="24" t="inlineStr">
        <is>
          <t>S020101020100</t>
        </is>
      </c>
      <c r="B22" s="24" t="inlineStr">
        <is>
          <t>1.2.1 零售活期存款</t>
        </is>
      </c>
      <c r="C22" s="25" t="n">
        <v>60000</v>
      </c>
      <c r="D22" s="25" t="n">
        <v>36000</v>
      </c>
      <c r="E22" s="25" t="n">
        <v>24000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29" t="n"/>
      <c r="AP22" s="29" t="n"/>
      <c r="AQ22" s="29" t="n"/>
      <c r="AR22" s="29" t="n"/>
      <c r="AS22" s="29" t="n"/>
      <c r="AT22" s="29" t="n"/>
      <c r="AU22" s="29" t="n"/>
      <c r="AV22" s="29" t="n"/>
      <c r="AW22" s="29" t="n"/>
      <c r="AX22" s="29" t="n"/>
      <c r="AY22" s="29" t="n"/>
      <c r="AZ22" s="29" t="n"/>
      <c r="BA22" s="29" t="n"/>
      <c r="BB22" s="29" t="n"/>
      <c r="BC22" s="29" t="n"/>
      <c r="BD22" s="29" t="n"/>
      <c r="BE22" s="29" t="n"/>
      <c r="BF22" s="29" t="n"/>
      <c r="BG22" s="29" t="n"/>
      <c r="BH22" s="29" t="n"/>
      <c r="BI22" s="29" t="n"/>
      <c r="BJ22" s="29" t="n"/>
      <c r="BK22" s="29" t="n"/>
      <c r="BL22" s="29" t="n"/>
      <c r="BM22" s="29" t="n"/>
      <c r="BN22" s="29" t="n"/>
      <c r="BO22" s="27">
        <f>SUM(C22:N22)</f>
        <v/>
      </c>
      <c r="BP22" s="27">
        <f>SUM(C22:BN22)</f>
        <v/>
      </c>
      <c r="BQ22" s="27">
        <f>'①数据源'!F22</f>
        <v/>
      </c>
      <c r="BR22" s="28">
        <f>IF(BQ22=0,0,BP22/BQ22)</f>
        <v/>
      </c>
    </row>
    <row r="23">
      <c r="A23" s="24" t="inlineStr">
        <is>
          <t>S020101020200</t>
        </is>
      </c>
      <c r="B23" s="24" t="inlineStr">
        <is>
          <t>1.2.2 零售定期存款</t>
        </is>
      </c>
      <c r="C23" s="25" t="n">
        <v>35300</v>
      </c>
      <c r="D23" s="25" t="n">
        <v>35300</v>
      </c>
      <c r="E23" s="25" t="n">
        <v>23520</v>
      </c>
      <c r="F23" s="25" t="n">
        <v>11760</v>
      </c>
      <c r="G23" s="25" t="n">
        <v>11760</v>
      </c>
      <c r="H23" s="25" t="n">
        <v>11760</v>
      </c>
      <c r="I23" s="25" t="n">
        <v>11760</v>
      </c>
      <c r="J23" s="25" t="n">
        <v>11760</v>
      </c>
      <c r="K23" s="25" t="n">
        <v>11760</v>
      </c>
      <c r="L23" s="25" t="n">
        <v>11760</v>
      </c>
      <c r="M23" s="25" t="n">
        <v>11760</v>
      </c>
      <c r="N23" s="25" t="n">
        <v>11760</v>
      </c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  <c r="AS23" s="29" t="n"/>
      <c r="AT23" s="29" t="n"/>
      <c r="AU23" s="29" t="n"/>
      <c r="AV23" s="29" t="n"/>
      <c r="AW23" s="29" t="n"/>
      <c r="AX23" s="29" t="n"/>
      <c r="AY23" s="29" t="n"/>
      <c r="AZ23" s="29" t="n"/>
      <c r="BA23" s="29" t="n"/>
      <c r="BB23" s="29" t="n"/>
      <c r="BC23" s="29" t="n"/>
      <c r="BD23" s="29" t="n"/>
      <c r="BE23" s="29" t="n"/>
      <c r="BF23" s="29" t="n"/>
      <c r="BG23" s="29" t="n"/>
      <c r="BH23" s="29" t="n"/>
      <c r="BI23" s="29" t="n"/>
      <c r="BJ23" s="29" t="n"/>
      <c r="BK23" s="29" t="n"/>
      <c r="BL23" s="29" t="n"/>
      <c r="BM23" s="29" t="n"/>
      <c r="BN23" s="29" t="n"/>
      <c r="BO23" s="27">
        <f>SUM(C23:N23)</f>
        <v/>
      </c>
      <c r="BP23" s="27">
        <f>SUM(C23:BN23)</f>
        <v/>
      </c>
      <c r="BQ23" s="27">
        <f>'①数据源'!F23</f>
        <v/>
      </c>
      <c r="BR23" s="28">
        <f>IF(BQ23=0,0,BP23/BQ23)</f>
        <v/>
      </c>
    </row>
    <row r="24">
      <c r="A24" s="24" t="inlineStr">
        <is>
          <t>S02010200000000</t>
        </is>
      </c>
      <c r="B24" s="24" t="inlineStr">
        <is>
          <t>2. 人民币市场化负债</t>
        </is>
      </c>
      <c r="C24" s="25" t="n">
        <v>21180</v>
      </c>
      <c r="D24" s="25" t="n">
        <v>21180</v>
      </c>
      <c r="E24" s="25" t="n">
        <v>14112</v>
      </c>
      <c r="F24" s="25" t="n">
        <v>7056</v>
      </c>
      <c r="G24" s="25" t="n">
        <v>7056</v>
      </c>
      <c r="H24" s="25" t="n">
        <v>7056</v>
      </c>
      <c r="I24" s="25" t="n">
        <v>7056</v>
      </c>
      <c r="J24" s="25" t="n">
        <v>7056</v>
      </c>
      <c r="K24" s="25" t="n">
        <v>7056</v>
      </c>
      <c r="L24" s="25" t="n">
        <v>7056</v>
      </c>
      <c r="M24" s="25" t="n">
        <v>7056</v>
      </c>
      <c r="N24" s="25" t="n">
        <v>7056</v>
      </c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29" t="n"/>
      <c r="AK24" s="29" t="n"/>
      <c r="AL24" s="29" t="n"/>
      <c r="AM24" s="29" t="n"/>
      <c r="AN24" s="29" t="n"/>
      <c r="AO24" s="29" t="n"/>
      <c r="AP24" s="29" t="n"/>
      <c r="AQ24" s="29" t="n"/>
      <c r="AR24" s="29" t="n"/>
      <c r="AS24" s="29" t="n"/>
      <c r="AT24" s="29" t="n"/>
      <c r="AU24" s="29" t="n"/>
      <c r="AV24" s="29" t="n"/>
      <c r="AW24" s="29" t="n"/>
      <c r="AX24" s="29" t="n"/>
      <c r="AY24" s="29" t="n"/>
      <c r="AZ24" s="29" t="n"/>
      <c r="BA24" s="29" t="n"/>
      <c r="BB24" s="29" t="n"/>
      <c r="BC24" s="29" t="n"/>
      <c r="BD24" s="29" t="n"/>
      <c r="BE24" s="29" t="n"/>
      <c r="BF24" s="29" t="n"/>
      <c r="BG24" s="29" t="n"/>
      <c r="BH24" s="29" t="n"/>
      <c r="BI24" s="29" t="n"/>
      <c r="BJ24" s="29" t="n"/>
      <c r="BK24" s="29" t="n"/>
      <c r="BL24" s="29" t="n"/>
      <c r="BM24" s="29" t="n"/>
      <c r="BN24" s="29" t="n"/>
      <c r="BO24" s="27">
        <f>SUM(C24:N24)</f>
        <v/>
      </c>
      <c r="BP24" s="27">
        <f>SUM(C24:BN24)</f>
        <v/>
      </c>
      <c r="BQ24" s="27">
        <f>'①数据源'!F24</f>
        <v/>
      </c>
      <c r="BR24" s="28">
        <f>IF(BQ24=0,0,BP24/BQ24)</f>
        <v/>
      </c>
    </row>
    <row r="25">
      <c r="A25" s="24" t="inlineStr">
        <is>
          <t>S02020100000000</t>
        </is>
      </c>
      <c r="B25" s="24" t="inlineStr">
        <is>
          <t>1. 外币存款</t>
        </is>
      </c>
      <c r="C25" s="25" t="n">
        <v>7060</v>
      </c>
      <c r="D25" s="25" t="n">
        <v>7060</v>
      </c>
      <c r="E25" s="25" t="n">
        <v>4704</v>
      </c>
      <c r="F25" s="25" t="n">
        <v>2352</v>
      </c>
      <c r="G25" s="25" t="n">
        <v>2352</v>
      </c>
      <c r="H25" s="25" t="n">
        <v>2352</v>
      </c>
      <c r="I25" s="25" t="n">
        <v>2352</v>
      </c>
      <c r="J25" s="25" t="n">
        <v>2352</v>
      </c>
      <c r="K25" s="25" t="n">
        <v>2352</v>
      </c>
      <c r="L25" s="25" t="n">
        <v>2352</v>
      </c>
      <c r="M25" s="25" t="n">
        <v>2352</v>
      </c>
      <c r="N25" s="25" t="n">
        <v>2352</v>
      </c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29" t="n"/>
      <c r="AP25" s="29" t="n"/>
      <c r="AQ25" s="29" t="n"/>
      <c r="AR25" s="29" t="n"/>
      <c r="AS25" s="29" t="n"/>
      <c r="AT25" s="29" t="n"/>
      <c r="AU25" s="29" t="n"/>
      <c r="AV25" s="29" t="n"/>
      <c r="AW25" s="29" t="n"/>
      <c r="AX25" s="29" t="n"/>
      <c r="AY25" s="29" t="n"/>
      <c r="AZ25" s="29" t="n"/>
      <c r="BA25" s="29" t="n"/>
      <c r="BB25" s="29" t="n"/>
      <c r="BC25" s="29" t="n"/>
      <c r="BD25" s="29" t="n"/>
      <c r="BE25" s="29" t="n"/>
      <c r="BF25" s="29" t="n"/>
      <c r="BG25" s="29" t="n"/>
      <c r="BH25" s="29" t="n"/>
      <c r="BI25" s="29" t="n"/>
      <c r="BJ25" s="29" t="n"/>
      <c r="BK25" s="29" t="n"/>
      <c r="BL25" s="29" t="n"/>
      <c r="BM25" s="29" t="n"/>
      <c r="BN25" s="29" t="n"/>
      <c r="BO25" s="27">
        <f>SUM(C25:N25)</f>
        <v/>
      </c>
      <c r="BP25" s="27">
        <f>SUM(C25:BN25)</f>
        <v/>
      </c>
      <c r="BQ25" s="27">
        <f>'①数据源'!F25</f>
        <v/>
      </c>
      <c r="BR25" s="28">
        <f>IF(BQ25=0,0,BP25/BQ25)</f>
        <v/>
      </c>
    </row>
    <row r="26">
      <c r="A26" s="24" t="inlineStr">
        <is>
          <t>S02020200000000</t>
        </is>
      </c>
      <c r="B26" s="24" t="inlineStr">
        <is>
          <t>2. 外币市场化负债</t>
        </is>
      </c>
      <c r="C26" s="25" t="n">
        <v>3530</v>
      </c>
      <c r="D26" s="25" t="n">
        <v>3530</v>
      </c>
      <c r="E26" s="25" t="n">
        <v>2352</v>
      </c>
      <c r="F26" s="25" t="n">
        <v>1176</v>
      </c>
      <c r="G26" s="25" t="n">
        <v>1176</v>
      </c>
      <c r="H26" s="25" t="n">
        <v>1176</v>
      </c>
      <c r="I26" s="25" t="n">
        <v>1176</v>
      </c>
      <c r="J26" s="25" t="n">
        <v>1176</v>
      </c>
      <c r="K26" s="25" t="n">
        <v>1176</v>
      </c>
      <c r="L26" s="25" t="n">
        <v>1176</v>
      </c>
      <c r="M26" s="25" t="n">
        <v>1176</v>
      </c>
      <c r="N26" s="25" t="n">
        <v>1176</v>
      </c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  <c r="AS26" s="29" t="n"/>
      <c r="AT26" s="29" t="n"/>
      <c r="AU26" s="29" t="n"/>
      <c r="AV26" s="29" t="n"/>
      <c r="AW26" s="29" t="n"/>
      <c r="AX26" s="29" t="n"/>
      <c r="AY26" s="29" t="n"/>
      <c r="AZ26" s="29" t="n"/>
      <c r="BA26" s="29" t="n"/>
      <c r="BB26" s="29" t="n"/>
      <c r="BC26" s="29" t="n"/>
      <c r="BD26" s="29" t="n"/>
      <c r="BE26" s="29" t="n"/>
      <c r="BF26" s="29" t="n"/>
      <c r="BG26" s="29" t="n"/>
      <c r="BH26" s="29" t="n"/>
      <c r="BI26" s="29" t="n"/>
      <c r="BJ26" s="29" t="n"/>
      <c r="BK26" s="29" t="n"/>
      <c r="BL26" s="29" t="n"/>
      <c r="BM26" s="29" t="n"/>
      <c r="BN26" s="29" t="n"/>
      <c r="BO26" s="27">
        <f>SUM(C26:N26)</f>
        <v/>
      </c>
      <c r="BP26" s="27">
        <f>SUM(C26:BN26)</f>
        <v/>
      </c>
      <c r="BQ26" s="27">
        <f>'①数据源'!F26</f>
        <v/>
      </c>
      <c r="BR26" s="28">
        <f>IF(BQ26=0,0,BP26/BQ26)</f>
        <v/>
      </c>
    </row>
    <row r="27">
      <c r="A27" s="24" t="inlineStr">
        <is>
          <t>S03000000000000</t>
        </is>
      </c>
      <c r="B27" s="24" t="inlineStr">
        <is>
          <t>所有者权益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29" t="n"/>
      <c r="AP27" s="29" t="n"/>
      <c r="AQ27" s="29" t="n"/>
      <c r="AR27" s="29" t="n"/>
      <c r="AS27" s="29" t="n"/>
      <c r="AT27" s="29" t="n"/>
      <c r="AU27" s="29" t="n"/>
      <c r="AV27" s="29" t="n"/>
      <c r="AW27" s="29" t="n"/>
      <c r="AX27" s="29" t="n"/>
      <c r="AY27" s="29" t="n"/>
      <c r="AZ27" s="29" t="n"/>
      <c r="BA27" s="29" t="n"/>
      <c r="BB27" s="29" t="n"/>
      <c r="BC27" s="29" t="n"/>
      <c r="BD27" s="29" t="n"/>
      <c r="BE27" s="29" t="n"/>
      <c r="BF27" s="29" t="n"/>
      <c r="BG27" s="29" t="n"/>
      <c r="BH27" s="29" t="n"/>
      <c r="BI27" s="29" t="n"/>
      <c r="BJ27" s="29" t="n"/>
      <c r="BK27" s="29" t="n"/>
      <c r="BL27" s="29" t="n"/>
      <c r="BM27" s="29" t="n"/>
      <c r="BN27" s="29" t="n"/>
      <c r="BO27" s="27">
        <f>SUM(C27:N27)</f>
        <v/>
      </c>
      <c r="BP27" s="27">
        <f>SUM(C27:BN27)</f>
        <v/>
      </c>
      <c r="BQ27" s="27">
        <f>'①数据源'!F27</f>
        <v/>
      </c>
      <c r="BR27" s="28">
        <f>IF(BQ27=0,0,BP27/BQ27)</f>
        <v/>
      </c>
    </row>
    <row r="28">
      <c r="A28" s="17" t="n"/>
      <c r="B28" s="18" t="inlineStr">
        <is>
          <t>合计</t>
        </is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9">
        <f>SUM(BO4:BO27)</f>
        <v/>
      </c>
      <c r="BP28" s="19">
        <f>SUM(BP4:BP27)</f>
        <v/>
      </c>
      <c r="BQ28" s="19">
        <f>SUM(BQ4:BQ27)</f>
        <v/>
      </c>
      <c r="BR28" s="21">
        <f>IF(BQ28=0,0,BP28/BQ28)</f>
        <v/>
      </c>
    </row>
  </sheetData>
  <mergeCells count="2">
    <mergeCell ref="A2:BR2"/>
    <mergeCell ref="A1:B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5" customWidth="1" min="4" max="4"/>
    <col width="13" customWidth="1" min="5" max="5"/>
    <col width="15" customWidth="1" min="6" max="6"/>
    <col width="34" customWidth="1" min="7" max="7"/>
  </cols>
  <sheetData>
    <row r="1">
      <c r="A1" s="1" t="inlineStr">
        <is>
          <t>③ 国债收益率曲线与折现因子 — 取自 prcp_basic_20251231.xlsx R47~R176</t>
        </is>
      </c>
    </row>
    <row r="2">
      <c r="A2" s="2" t="inlineStr">
        <is>
          <t>64 个关键期限（1M~60M 月度 + 10Y/15Y/20Y/30Y），中债登关键期限 + 线性插值  |  DF = 1/(1+y)^t</t>
        </is>
      </c>
    </row>
    <row r="3" ht="34" customHeight="1">
      <c r="A3" s="3" t="inlineStr">
        <is>
          <t>期限</t>
        </is>
      </c>
      <c r="B3" s="3" t="inlineStr">
        <is>
          <t>年数 t</t>
        </is>
      </c>
      <c r="C3" s="3" t="inlineStr">
        <is>
          <t>收益率 y(%)</t>
        </is>
      </c>
      <c r="D3" s="3" t="inlineStr">
        <is>
          <t>折现因子 DF</t>
        </is>
      </c>
      <c r="E3" s="3" t="inlineStr">
        <is>
          <t>t × DF</t>
        </is>
      </c>
      <c r="F3" s="3" t="inlineStr">
        <is>
          <t>数据来源</t>
        </is>
      </c>
      <c r="G3" s="3" t="inlineStr">
        <is>
          <t>说明</t>
        </is>
      </c>
    </row>
    <row r="4">
      <c r="A4" s="24" t="inlineStr">
        <is>
          <t>1M</t>
        </is>
      </c>
      <c r="B4" s="30" t="n">
        <v>0.08333333333333333</v>
      </c>
      <c r="C4" s="31" t="n">
        <v>0.0127</v>
      </c>
      <c r="D4" s="32">
        <f>1/(1+C4)^B4</f>
        <v/>
      </c>
      <c r="E4" s="33">
        <f>B4*D4</f>
        <v/>
      </c>
      <c r="F4" s="24" t="inlineStr">
        <is>
          <t>线性插值</t>
        </is>
      </c>
      <c r="G4" s="34" t="inlineStr">
        <is>
          <t>由关键期限线性插值</t>
        </is>
      </c>
    </row>
    <row r="5">
      <c r="A5" s="24" t="inlineStr">
        <is>
          <t>2M</t>
        </is>
      </c>
      <c r="B5" s="30" t="n">
        <v>0.1666666666666667</v>
      </c>
      <c r="C5" s="31" t="n">
        <v>0.0127</v>
      </c>
      <c r="D5" s="32">
        <f>1/(1+C5)^B5</f>
        <v/>
      </c>
      <c r="E5" s="33">
        <f>B5*D5</f>
        <v/>
      </c>
      <c r="F5" s="24" t="inlineStr">
        <is>
          <t>线性插值</t>
        </is>
      </c>
      <c r="G5" s="34" t="inlineStr">
        <is>
          <t>由关键期限线性插值</t>
        </is>
      </c>
    </row>
    <row r="6">
      <c r="A6" s="24" t="inlineStr">
        <is>
          <t>3M</t>
        </is>
      </c>
      <c r="B6" s="30" t="n">
        <v>0.25</v>
      </c>
      <c r="C6" s="31" t="n">
        <v>0.0127</v>
      </c>
      <c r="D6" s="32">
        <f>1/(1+C6)^B6</f>
        <v/>
      </c>
      <c r="E6" s="33">
        <f>B6*D6</f>
        <v/>
      </c>
      <c r="F6" s="24" t="inlineStr">
        <is>
          <t>中债登</t>
        </is>
      </c>
      <c r="G6" s="34" t="inlineStr">
        <is>
          <t>关键期限官方数据</t>
        </is>
      </c>
    </row>
    <row r="7">
      <c r="A7" s="24" t="inlineStr">
        <is>
          <t>4M</t>
        </is>
      </c>
      <c r="B7" s="30" t="n">
        <v>0.3333333333333333</v>
      </c>
      <c r="C7" s="31" t="n">
        <v>0.0128</v>
      </c>
      <c r="D7" s="32">
        <f>1/(1+C7)^B7</f>
        <v/>
      </c>
      <c r="E7" s="33">
        <f>B7*D7</f>
        <v/>
      </c>
      <c r="F7" s="24" t="inlineStr">
        <is>
          <t>线性插值</t>
        </is>
      </c>
      <c r="G7" s="34" t="inlineStr">
        <is>
          <t>由关键期限线性插值</t>
        </is>
      </c>
    </row>
    <row r="8">
      <c r="A8" s="24" t="inlineStr">
        <is>
          <t>5M</t>
        </is>
      </c>
      <c r="B8" s="30" t="n">
        <v>0.4166666666666667</v>
      </c>
      <c r="C8" s="31" t="n">
        <v>0.0129</v>
      </c>
      <c r="D8" s="32">
        <f>1/(1+C8)^B8</f>
        <v/>
      </c>
      <c r="E8" s="33">
        <f>B8*D8</f>
        <v/>
      </c>
      <c r="F8" s="24" t="inlineStr">
        <is>
          <t>线性插值</t>
        </is>
      </c>
      <c r="G8" s="34" t="inlineStr">
        <is>
          <t>由关键期限线性插值</t>
        </is>
      </c>
    </row>
    <row r="9">
      <c r="A9" s="24" t="inlineStr">
        <is>
          <t>6M</t>
        </is>
      </c>
      <c r="B9" s="30" t="n">
        <v>0.5</v>
      </c>
      <c r="C9" s="31" t="n">
        <v>0.013</v>
      </c>
      <c r="D9" s="32">
        <f>1/(1+C9)^B9</f>
        <v/>
      </c>
      <c r="E9" s="33">
        <f>B9*D9</f>
        <v/>
      </c>
      <c r="F9" s="24" t="inlineStr">
        <is>
          <t>中债登</t>
        </is>
      </c>
      <c r="G9" s="34" t="inlineStr">
        <is>
          <t>关键期限官方数据</t>
        </is>
      </c>
    </row>
    <row r="10">
      <c r="A10" s="24" t="inlineStr">
        <is>
          <t>7M</t>
        </is>
      </c>
      <c r="B10" s="30" t="n">
        <v>0.5833333333333334</v>
      </c>
      <c r="C10" s="31" t="n">
        <v>0.0131</v>
      </c>
      <c r="D10" s="32">
        <f>1/(1+C10)^B10</f>
        <v/>
      </c>
      <c r="E10" s="33">
        <f>B10*D10</f>
        <v/>
      </c>
      <c r="F10" s="24" t="inlineStr">
        <is>
          <t>线性插值</t>
        </is>
      </c>
      <c r="G10" s="34" t="inlineStr">
        <is>
          <t>由关键期限线性插值</t>
        </is>
      </c>
    </row>
    <row r="11">
      <c r="A11" s="24" t="inlineStr">
        <is>
          <t>8M</t>
        </is>
      </c>
      <c r="B11" s="30" t="n">
        <v>0.6666666666666666</v>
      </c>
      <c r="C11" s="31" t="n">
        <v>0.01315</v>
      </c>
      <c r="D11" s="32">
        <f>1/(1+C11)^B11</f>
        <v/>
      </c>
      <c r="E11" s="33">
        <f>B11*D11</f>
        <v/>
      </c>
      <c r="F11" s="24" t="inlineStr">
        <is>
          <t>线性插值</t>
        </is>
      </c>
      <c r="G11" s="34" t="inlineStr">
        <is>
          <t>由关键期限线性插值</t>
        </is>
      </c>
    </row>
    <row r="12">
      <c r="A12" s="24" t="inlineStr">
        <is>
          <t>9M</t>
        </is>
      </c>
      <c r="B12" s="30" t="n">
        <v>0.75</v>
      </c>
      <c r="C12" s="31" t="n">
        <v>0.0132</v>
      </c>
      <c r="D12" s="32">
        <f>1/(1+C12)^B12</f>
        <v/>
      </c>
      <c r="E12" s="33">
        <f>B12*D12</f>
        <v/>
      </c>
      <c r="F12" s="24" t="inlineStr">
        <is>
          <t>中债登</t>
        </is>
      </c>
      <c r="G12" s="34" t="inlineStr">
        <is>
          <t>关键期限官方数据</t>
        </is>
      </c>
    </row>
    <row r="13">
      <c r="A13" s="24" t="inlineStr">
        <is>
          <t>10M</t>
        </is>
      </c>
      <c r="B13" s="30" t="n">
        <v>0.8333333333333334</v>
      </c>
      <c r="C13" s="31" t="n">
        <v>0.01328</v>
      </c>
      <c r="D13" s="32">
        <f>1/(1+C13)^B13</f>
        <v/>
      </c>
      <c r="E13" s="33">
        <f>B13*D13</f>
        <v/>
      </c>
      <c r="F13" s="24" t="inlineStr">
        <is>
          <t>线性插值</t>
        </is>
      </c>
      <c r="G13" s="34" t="inlineStr">
        <is>
          <t>由关键期限线性插值</t>
        </is>
      </c>
    </row>
    <row r="14">
      <c r="A14" s="24" t="inlineStr">
        <is>
          <t>11M</t>
        </is>
      </c>
      <c r="B14" s="30" t="n">
        <v>0.9166666666666666</v>
      </c>
      <c r="C14" s="31" t="n">
        <v>0.01333</v>
      </c>
      <c r="D14" s="32">
        <f>1/(1+C14)^B14</f>
        <v/>
      </c>
      <c r="E14" s="33">
        <f>B14*D14</f>
        <v/>
      </c>
      <c r="F14" s="24" t="inlineStr">
        <is>
          <t>线性插值</t>
        </is>
      </c>
      <c r="G14" s="34" t="inlineStr">
        <is>
          <t>由关键期限线性插值</t>
        </is>
      </c>
    </row>
    <row r="15">
      <c r="A15" s="24" t="inlineStr">
        <is>
          <t>12M</t>
        </is>
      </c>
      <c r="B15" s="30" t="n">
        <v>1</v>
      </c>
      <c r="C15" s="31" t="n">
        <v>0.013372</v>
      </c>
      <c r="D15" s="32">
        <f>1/(1+C15)^B15</f>
        <v/>
      </c>
      <c r="E15" s="33">
        <f>B15*D15</f>
        <v/>
      </c>
      <c r="F15" s="24" t="inlineStr">
        <is>
          <t>中债登</t>
        </is>
      </c>
      <c r="G15" s="34" t="inlineStr">
        <is>
          <t>关键期限官方数据</t>
        </is>
      </c>
    </row>
    <row r="16">
      <c r="A16" s="24" t="inlineStr">
        <is>
          <t>13M</t>
        </is>
      </c>
      <c r="B16" s="30" t="n">
        <v>1.083333333333333</v>
      </c>
      <c r="C16" s="31" t="n">
        <v>0.013393</v>
      </c>
      <c r="D16" s="32">
        <f>1/(1+C16)^B16</f>
        <v/>
      </c>
      <c r="E16" s="33">
        <f>B16*D16</f>
        <v/>
      </c>
      <c r="F16" s="24" t="inlineStr">
        <is>
          <t>线性插值</t>
        </is>
      </c>
      <c r="G16" s="34" t="inlineStr">
        <is>
          <t>由关键期限线性插值</t>
        </is>
      </c>
    </row>
    <row r="17">
      <c r="A17" s="24" t="inlineStr">
        <is>
          <t>14M</t>
        </is>
      </c>
      <c r="B17" s="30" t="n">
        <v>1.166666666666667</v>
      </c>
      <c r="C17" s="31" t="n">
        <v>0.013415</v>
      </c>
      <c r="D17" s="32">
        <f>1/(1+C17)^B17</f>
        <v/>
      </c>
      <c r="E17" s="33">
        <f>B17*D17</f>
        <v/>
      </c>
      <c r="F17" s="24" t="inlineStr">
        <is>
          <t>线性插值</t>
        </is>
      </c>
      <c r="G17" s="34" t="inlineStr">
        <is>
          <t>由关键期限线性插值</t>
        </is>
      </c>
    </row>
    <row r="18">
      <c r="A18" s="24" t="inlineStr">
        <is>
          <t>15M</t>
        </is>
      </c>
      <c r="B18" s="30" t="n">
        <v>1.25</v>
      </c>
      <c r="C18" s="31" t="n">
        <v>0.013436</v>
      </c>
      <c r="D18" s="32">
        <f>1/(1+C18)^B18</f>
        <v/>
      </c>
      <c r="E18" s="33">
        <f>B18*D18</f>
        <v/>
      </c>
      <c r="F18" s="24" t="inlineStr">
        <is>
          <t>线性插值</t>
        </is>
      </c>
      <c r="G18" s="34" t="inlineStr">
        <is>
          <t>由关键期限线性插值</t>
        </is>
      </c>
    </row>
    <row r="19">
      <c r="A19" s="24" t="inlineStr">
        <is>
          <t>16M</t>
        </is>
      </c>
      <c r="B19" s="30" t="n">
        <v>1.333333333333333</v>
      </c>
      <c r="C19" s="31" t="n">
        <v>0.013457</v>
      </c>
      <c r="D19" s="32">
        <f>1/(1+C19)^B19</f>
        <v/>
      </c>
      <c r="E19" s="33">
        <f>B19*D19</f>
        <v/>
      </c>
      <c r="F19" s="24" t="inlineStr">
        <is>
          <t>线性插值</t>
        </is>
      </c>
      <c r="G19" s="34" t="inlineStr">
        <is>
          <t>由关键期限线性插值</t>
        </is>
      </c>
    </row>
    <row r="20">
      <c r="A20" s="24" t="inlineStr">
        <is>
          <t>17M</t>
        </is>
      </c>
      <c r="B20" s="30" t="n">
        <v>1.416666666666667</v>
      </c>
      <c r="C20" s="31" t="n">
        <v>0.013479</v>
      </c>
      <c r="D20" s="32">
        <f>1/(1+C20)^B20</f>
        <v/>
      </c>
      <c r="E20" s="33">
        <f>B20*D20</f>
        <v/>
      </c>
      <c r="F20" s="24" t="inlineStr">
        <is>
          <t>线性插值</t>
        </is>
      </c>
      <c r="G20" s="34" t="inlineStr">
        <is>
          <t>由关键期限线性插值</t>
        </is>
      </c>
    </row>
    <row r="21">
      <c r="A21" s="24" t="inlineStr">
        <is>
          <t>18M</t>
        </is>
      </c>
      <c r="B21" s="30" t="n">
        <v>1.5</v>
      </c>
      <c r="C21" s="31" t="n">
        <v>0.0135</v>
      </c>
      <c r="D21" s="32">
        <f>1/(1+C21)^B21</f>
        <v/>
      </c>
      <c r="E21" s="33">
        <f>B21*D21</f>
        <v/>
      </c>
      <c r="F21" s="24" t="inlineStr">
        <is>
          <t>线性插值</t>
        </is>
      </c>
      <c r="G21" s="34" t="inlineStr">
        <is>
          <t>由关键期限线性插值</t>
        </is>
      </c>
    </row>
    <row r="22">
      <c r="A22" s="24" t="inlineStr">
        <is>
          <t>19M</t>
        </is>
      </c>
      <c r="B22" s="30" t="n">
        <v>1.583333333333333</v>
      </c>
      <c r="C22" s="31" t="n">
        <v>0.013518</v>
      </c>
      <c r="D22" s="32">
        <f>1/(1+C22)^B22</f>
        <v/>
      </c>
      <c r="E22" s="33">
        <f>B22*D22</f>
        <v/>
      </c>
      <c r="F22" s="24" t="inlineStr">
        <is>
          <t>线性插值</t>
        </is>
      </c>
      <c r="G22" s="34" t="inlineStr">
        <is>
          <t>由关键期限线性插值</t>
        </is>
      </c>
    </row>
    <row r="23">
      <c r="A23" s="24" t="inlineStr">
        <is>
          <t>20M</t>
        </is>
      </c>
      <c r="B23" s="30" t="n">
        <v>1.666666666666667</v>
      </c>
      <c r="C23" s="31" t="n">
        <v>0.013535</v>
      </c>
      <c r="D23" s="32">
        <f>1/(1+C23)^B23</f>
        <v/>
      </c>
      <c r="E23" s="33">
        <f>B23*D23</f>
        <v/>
      </c>
      <c r="F23" s="24" t="inlineStr">
        <is>
          <t>线性插值</t>
        </is>
      </c>
      <c r="G23" s="34" t="inlineStr">
        <is>
          <t>由关键期限线性插值</t>
        </is>
      </c>
    </row>
    <row r="24">
      <c r="A24" s="24" t="inlineStr">
        <is>
          <t>21M</t>
        </is>
      </c>
      <c r="B24" s="30" t="n">
        <v>1.75</v>
      </c>
      <c r="C24" s="31" t="n">
        <v>0.013553</v>
      </c>
      <c r="D24" s="32">
        <f>1/(1+C24)^B24</f>
        <v/>
      </c>
      <c r="E24" s="33">
        <f>B24*D24</f>
        <v/>
      </c>
      <c r="F24" s="24" t="inlineStr">
        <is>
          <t>线性插值</t>
        </is>
      </c>
      <c r="G24" s="34" t="inlineStr">
        <is>
          <t>由关键期限线性插值</t>
        </is>
      </c>
    </row>
    <row r="25">
      <c r="A25" s="24" t="inlineStr">
        <is>
          <t>22M</t>
        </is>
      </c>
      <c r="B25" s="30" t="n">
        <v>1.833333333333333</v>
      </c>
      <c r="C25" s="31" t="n">
        <v>0.01357</v>
      </c>
      <c r="D25" s="32">
        <f>1/(1+C25)^B25</f>
        <v/>
      </c>
      <c r="E25" s="33">
        <f>B25*D25</f>
        <v/>
      </c>
      <c r="F25" s="24" t="inlineStr">
        <is>
          <t>线性插值</t>
        </is>
      </c>
      <c r="G25" s="34" t="inlineStr">
        <is>
          <t>由关键期限线性插值</t>
        </is>
      </c>
    </row>
    <row r="26">
      <c r="A26" s="24" t="inlineStr">
        <is>
          <t>23M</t>
        </is>
      </c>
      <c r="B26" s="30" t="n">
        <v>1.916666666666667</v>
      </c>
      <c r="C26" s="31" t="n">
        <v>0.013588</v>
      </c>
      <c r="D26" s="32">
        <f>1/(1+C26)^B26</f>
        <v/>
      </c>
      <c r="E26" s="33">
        <f>B26*D26</f>
        <v/>
      </c>
      <c r="F26" s="24" t="inlineStr">
        <is>
          <t>线性插值</t>
        </is>
      </c>
      <c r="G26" s="34" t="inlineStr">
        <is>
          <t>由关键期限线性插值</t>
        </is>
      </c>
    </row>
    <row r="27">
      <c r="A27" s="24" t="inlineStr">
        <is>
          <t>24M</t>
        </is>
      </c>
      <c r="B27" s="30" t="n">
        <v>2</v>
      </c>
      <c r="C27" s="31" t="n">
        <v>0.013605</v>
      </c>
      <c r="D27" s="32">
        <f>1/(1+C27)^B27</f>
        <v/>
      </c>
      <c r="E27" s="33">
        <f>B27*D27</f>
        <v/>
      </c>
      <c r="F27" s="24" t="inlineStr">
        <is>
          <t>线性插值</t>
        </is>
      </c>
      <c r="G27" s="34" t="inlineStr">
        <is>
          <t>由关键期限线性插值</t>
        </is>
      </c>
    </row>
    <row r="28">
      <c r="A28" s="24" t="inlineStr">
        <is>
          <t>25M</t>
        </is>
      </c>
      <c r="B28" s="30" t="n">
        <v>2.083333333333333</v>
      </c>
      <c r="C28" s="31" t="n">
        <v>0.013621</v>
      </c>
      <c r="D28" s="32">
        <f>1/(1+C28)^B28</f>
        <v/>
      </c>
      <c r="E28" s="33">
        <f>B28*D28</f>
        <v/>
      </c>
      <c r="F28" s="24" t="inlineStr">
        <is>
          <t>线性插值</t>
        </is>
      </c>
      <c r="G28" s="34" t="inlineStr">
        <is>
          <t>由关键期限线性插值</t>
        </is>
      </c>
    </row>
    <row r="29">
      <c r="A29" s="24" t="inlineStr">
        <is>
          <t>26M</t>
        </is>
      </c>
      <c r="B29" s="30" t="n">
        <v>2.166666666666667</v>
      </c>
      <c r="C29" s="31" t="n">
        <v>0.013637</v>
      </c>
      <c r="D29" s="32">
        <f>1/(1+C29)^B29</f>
        <v/>
      </c>
      <c r="E29" s="33">
        <f>B29*D29</f>
        <v/>
      </c>
      <c r="F29" s="24" t="inlineStr">
        <is>
          <t>线性插值</t>
        </is>
      </c>
      <c r="G29" s="34" t="inlineStr">
        <is>
          <t>由关键期限线性插值</t>
        </is>
      </c>
    </row>
    <row r="30">
      <c r="A30" s="24" t="inlineStr">
        <is>
          <t>27M</t>
        </is>
      </c>
      <c r="B30" s="30" t="n">
        <v>2.25</v>
      </c>
      <c r="C30" s="31" t="n">
        <v>0.013653</v>
      </c>
      <c r="D30" s="32">
        <f>1/(1+C30)^B30</f>
        <v/>
      </c>
      <c r="E30" s="33">
        <f>B30*D30</f>
        <v/>
      </c>
      <c r="F30" s="24" t="inlineStr">
        <is>
          <t>线性插值</t>
        </is>
      </c>
      <c r="G30" s="34" t="inlineStr">
        <is>
          <t>由关键期限线性插值</t>
        </is>
      </c>
    </row>
    <row r="31">
      <c r="A31" s="24" t="inlineStr">
        <is>
          <t>28M</t>
        </is>
      </c>
      <c r="B31" s="30" t="n">
        <v>2.333333333333333</v>
      </c>
      <c r="C31" s="31" t="n">
        <v>0.013668</v>
      </c>
      <c r="D31" s="32">
        <f>1/(1+C31)^B31</f>
        <v/>
      </c>
      <c r="E31" s="33">
        <f>B31*D31</f>
        <v/>
      </c>
      <c r="F31" s="24" t="inlineStr">
        <is>
          <t>线性插值</t>
        </is>
      </c>
      <c r="G31" s="34" t="inlineStr">
        <is>
          <t>由关键期限线性插值</t>
        </is>
      </c>
    </row>
    <row r="32">
      <c r="A32" s="24" t="inlineStr">
        <is>
          <t>29M</t>
        </is>
      </c>
      <c r="B32" s="30" t="n">
        <v>2.416666666666667</v>
      </c>
      <c r="C32" s="31" t="n">
        <v>0.013684</v>
      </c>
      <c r="D32" s="32">
        <f>1/(1+C32)^B32</f>
        <v/>
      </c>
      <c r="E32" s="33">
        <f>B32*D32</f>
        <v/>
      </c>
      <c r="F32" s="24" t="inlineStr">
        <is>
          <t>线性插值</t>
        </is>
      </c>
      <c r="G32" s="34" t="inlineStr">
        <is>
          <t>由关键期限线性插值</t>
        </is>
      </c>
    </row>
    <row r="33">
      <c r="A33" s="24" t="inlineStr">
        <is>
          <t>30M</t>
        </is>
      </c>
      <c r="B33" s="30" t="n">
        <v>2.5</v>
      </c>
      <c r="C33" s="31" t="n">
        <v>0.0137</v>
      </c>
      <c r="D33" s="32">
        <f>1/(1+C33)^B33</f>
        <v/>
      </c>
      <c r="E33" s="33">
        <f>B33*D33</f>
        <v/>
      </c>
      <c r="F33" s="24" t="inlineStr">
        <is>
          <t>线性插值</t>
        </is>
      </c>
      <c r="G33" s="34" t="inlineStr">
        <is>
          <t>由关键期限线性插值</t>
        </is>
      </c>
    </row>
    <row r="34">
      <c r="A34" s="24" t="inlineStr">
        <is>
          <t>31M</t>
        </is>
      </c>
      <c r="B34" s="30" t="n">
        <v>2.583333333333333</v>
      </c>
      <c r="C34" s="31" t="n">
        <v>0.013722</v>
      </c>
      <c r="D34" s="32">
        <f>1/(1+C34)^B34</f>
        <v/>
      </c>
      <c r="E34" s="33">
        <f>B34*D34</f>
        <v/>
      </c>
      <c r="F34" s="24" t="inlineStr">
        <is>
          <t>线性插值</t>
        </is>
      </c>
      <c r="G34" s="34" t="inlineStr">
        <is>
          <t>由关键期限线性插值</t>
        </is>
      </c>
    </row>
    <row r="35">
      <c r="A35" s="24" t="inlineStr">
        <is>
          <t>32M</t>
        </is>
      </c>
      <c r="B35" s="30" t="n">
        <v>2.666666666666667</v>
      </c>
      <c r="C35" s="31" t="n">
        <v>0.013743</v>
      </c>
      <c r="D35" s="32">
        <f>1/(1+C35)^B35</f>
        <v/>
      </c>
      <c r="E35" s="33">
        <f>B35*D35</f>
        <v/>
      </c>
      <c r="F35" s="24" t="inlineStr">
        <is>
          <t>线性插值</t>
        </is>
      </c>
      <c r="G35" s="34" t="inlineStr">
        <is>
          <t>由关键期限线性插值</t>
        </is>
      </c>
    </row>
    <row r="36">
      <c r="A36" s="24" t="inlineStr">
        <is>
          <t>33M</t>
        </is>
      </c>
      <c r="B36" s="30" t="n">
        <v>2.75</v>
      </c>
      <c r="C36" s="31" t="n">
        <v>0.013765</v>
      </c>
      <c r="D36" s="32">
        <f>1/(1+C36)^B36</f>
        <v/>
      </c>
      <c r="E36" s="33">
        <f>B36*D36</f>
        <v/>
      </c>
      <c r="F36" s="24" t="inlineStr">
        <is>
          <t>线性插值</t>
        </is>
      </c>
      <c r="G36" s="34" t="inlineStr">
        <is>
          <t>由关键期限线性插值</t>
        </is>
      </c>
    </row>
    <row r="37">
      <c r="A37" s="24" t="inlineStr">
        <is>
          <t>34M</t>
        </is>
      </c>
      <c r="B37" s="30" t="n">
        <v>2.833333333333333</v>
      </c>
      <c r="C37" s="31" t="n">
        <v>0.013787</v>
      </c>
      <c r="D37" s="32">
        <f>1/(1+C37)^B37</f>
        <v/>
      </c>
      <c r="E37" s="33">
        <f>B37*D37</f>
        <v/>
      </c>
      <c r="F37" s="24" t="inlineStr">
        <is>
          <t>线性插值</t>
        </is>
      </c>
      <c r="G37" s="34" t="inlineStr">
        <is>
          <t>由关键期限线性插值</t>
        </is>
      </c>
    </row>
    <row r="38">
      <c r="A38" s="24" t="inlineStr">
        <is>
          <t>35M</t>
        </is>
      </c>
      <c r="B38" s="30" t="n">
        <v>2.916666666666667</v>
      </c>
      <c r="C38" s="31" t="n">
        <v>0.013808</v>
      </c>
      <c r="D38" s="32">
        <f>1/(1+C38)^B38</f>
        <v/>
      </c>
      <c r="E38" s="33">
        <f>B38*D38</f>
        <v/>
      </c>
      <c r="F38" s="24" t="inlineStr">
        <is>
          <t>线性插值</t>
        </is>
      </c>
      <c r="G38" s="34" t="inlineStr">
        <is>
          <t>由关键期限线性插值</t>
        </is>
      </c>
    </row>
    <row r="39">
      <c r="A39" s="24" t="inlineStr">
        <is>
          <t>36M</t>
        </is>
      </c>
      <c r="B39" s="30" t="n">
        <v>3</v>
      </c>
      <c r="C39" s="31" t="n">
        <v>0.01383</v>
      </c>
      <c r="D39" s="32">
        <f>1/(1+C39)^B39</f>
        <v/>
      </c>
      <c r="E39" s="33">
        <f>B39*D39</f>
        <v/>
      </c>
      <c r="F39" s="24" t="inlineStr">
        <is>
          <t>中债登</t>
        </is>
      </c>
      <c r="G39" s="34" t="inlineStr">
        <is>
          <t>关键期限官方数据</t>
        </is>
      </c>
    </row>
    <row r="40">
      <c r="A40" s="24" t="inlineStr">
        <is>
          <t>37M</t>
        </is>
      </c>
      <c r="B40" s="30" t="n">
        <v>3.083333333333333</v>
      </c>
      <c r="C40" s="31" t="n">
        <v>0.013927</v>
      </c>
      <c r="D40" s="32">
        <f>1/(1+C40)^B40</f>
        <v/>
      </c>
      <c r="E40" s="33">
        <f>B40*D40</f>
        <v/>
      </c>
      <c r="F40" s="24" t="inlineStr">
        <is>
          <t>线性插值</t>
        </is>
      </c>
      <c r="G40" s="34" t="inlineStr">
        <is>
          <t>由关键期限线性插值</t>
        </is>
      </c>
    </row>
    <row r="41">
      <c r="A41" s="24" t="inlineStr">
        <is>
          <t>38M</t>
        </is>
      </c>
      <c r="B41" s="30" t="n">
        <v>3.166666666666667</v>
      </c>
      <c r="C41" s="31" t="n">
        <v>0.014025</v>
      </c>
      <c r="D41" s="32">
        <f>1/(1+C41)^B41</f>
        <v/>
      </c>
      <c r="E41" s="33">
        <f>B41*D41</f>
        <v/>
      </c>
      <c r="F41" s="24" t="inlineStr">
        <is>
          <t>线性插值</t>
        </is>
      </c>
      <c r="G41" s="34" t="inlineStr">
        <is>
          <t>由关键期限线性插值</t>
        </is>
      </c>
    </row>
    <row r="42">
      <c r="A42" s="24" t="inlineStr">
        <is>
          <t>39M</t>
        </is>
      </c>
      <c r="B42" s="30" t="n">
        <v>3.25</v>
      </c>
      <c r="C42" s="31" t="n">
        <v>0.014123</v>
      </c>
      <c r="D42" s="32">
        <f>1/(1+C42)^B42</f>
        <v/>
      </c>
      <c r="E42" s="33">
        <f>B42*D42</f>
        <v/>
      </c>
      <c r="F42" s="24" t="inlineStr">
        <is>
          <t>线性插值</t>
        </is>
      </c>
      <c r="G42" s="34" t="inlineStr">
        <is>
          <t>由关键期限线性插值</t>
        </is>
      </c>
    </row>
    <row r="43">
      <c r="A43" s="24" t="inlineStr">
        <is>
          <t>40M</t>
        </is>
      </c>
      <c r="B43" s="30" t="n">
        <v>3.333333333333333</v>
      </c>
      <c r="C43" s="31" t="n">
        <v>0.01422</v>
      </c>
      <c r="D43" s="32">
        <f>1/(1+C43)^B43</f>
        <v/>
      </c>
      <c r="E43" s="33">
        <f>B43*D43</f>
        <v/>
      </c>
      <c r="F43" s="24" t="inlineStr">
        <is>
          <t>线性插值</t>
        </is>
      </c>
      <c r="G43" s="34" t="inlineStr">
        <is>
          <t>由关键期限线性插值</t>
        </is>
      </c>
    </row>
    <row r="44">
      <c r="A44" s="24" t="inlineStr">
        <is>
          <t>41M</t>
        </is>
      </c>
      <c r="B44" s="30" t="n">
        <v>3.416666666666667</v>
      </c>
      <c r="C44" s="31" t="n">
        <v>0.014318</v>
      </c>
      <c r="D44" s="32">
        <f>1/(1+C44)^B44</f>
        <v/>
      </c>
      <c r="E44" s="33">
        <f>B44*D44</f>
        <v/>
      </c>
      <c r="F44" s="24" t="inlineStr">
        <is>
          <t>线性插值</t>
        </is>
      </c>
      <c r="G44" s="34" t="inlineStr">
        <is>
          <t>由关键期限线性插值</t>
        </is>
      </c>
    </row>
    <row r="45">
      <c r="A45" s="24" t="inlineStr">
        <is>
          <t>42M</t>
        </is>
      </c>
      <c r="B45" s="30" t="n">
        <v>3.5</v>
      </c>
      <c r="C45" s="31" t="n">
        <v>0.014415</v>
      </c>
      <c r="D45" s="32">
        <f>1/(1+C45)^B45</f>
        <v/>
      </c>
      <c r="E45" s="33">
        <f>B45*D45</f>
        <v/>
      </c>
      <c r="F45" s="24" t="inlineStr">
        <is>
          <t>线性插值</t>
        </is>
      </c>
      <c r="G45" s="34" t="inlineStr">
        <is>
          <t>由关键期限线性插值</t>
        </is>
      </c>
    </row>
    <row r="46">
      <c r="A46" s="24" t="inlineStr">
        <is>
          <t>43M</t>
        </is>
      </c>
      <c r="B46" s="30" t="n">
        <v>3.583333333333333</v>
      </c>
      <c r="C46" s="31" t="n">
        <v>0.014512</v>
      </c>
      <c r="D46" s="32">
        <f>1/(1+C46)^B46</f>
        <v/>
      </c>
      <c r="E46" s="33">
        <f>B46*D46</f>
        <v/>
      </c>
      <c r="F46" s="24" t="inlineStr">
        <is>
          <t>线性插值</t>
        </is>
      </c>
      <c r="G46" s="34" t="inlineStr">
        <is>
          <t>由关键期限线性插值</t>
        </is>
      </c>
    </row>
    <row r="47">
      <c r="A47" s="24" t="inlineStr">
        <is>
          <t>44M</t>
        </is>
      </c>
      <c r="B47" s="30" t="n">
        <v>3.666666666666667</v>
      </c>
      <c r="C47" s="31" t="n">
        <v>0.01461</v>
      </c>
      <c r="D47" s="32">
        <f>1/(1+C47)^B47</f>
        <v/>
      </c>
      <c r="E47" s="33">
        <f>B47*D47</f>
        <v/>
      </c>
      <c r="F47" s="24" t="inlineStr">
        <is>
          <t>线性插值</t>
        </is>
      </c>
      <c r="G47" s="34" t="inlineStr">
        <is>
          <t>由关键期限线性插值</t>
        </is>
      </c>
    </row>
    <row r="48">
      <c r="A48" s="24" t="inlineStr">
        <is>
          <t>45M</t>
        </is>
      </c>
      <c r="B48" s="30" t="n">
        <v>3.75</v>
      </c>
      <c r="C48" s="31" t="n">
        <v>0.014708</v>
      </c>
      <c r="D48" s="32">
        <f>1/(1+C48)^B48</f>
        <v/>
      </c>
      <c r="E48" s="33">
        <f>B48*D48</f>
        <v/>
      </c>
      <c r="F48" s="24" t="inlineStr">
        <is>
          <t>线性插值</t>
        </is>
      </c>
      <c r="G48" s="34" t="inlineStr">
        <is>
          <t>由关键期限线性插值</t>
        </is>
      </c>
    </row>
    <row r="49">
      <c r="A49" s="24" t="inlineStr">
        <is>
          <t>46M</t>
        </is>
      </c>
      <c r="B49" s="30" t="n">
        <v>3.833333333333333</v>
      </c>
      <c r="C49" s="31" t="n">
        <v>0.014805</v>
      </c>
      <c r="D49" s="32">
        <f>1/(1+C49)^B49</f>
        <v/>
      </c>
      <c r="E49" s="33">
        <f>B49*D49</f>
        <v/>
      </c>
      <c r="F49" s="24" t="inlineStr">
        <is>
          <t>线性插值</t>
        </is>
      </c>
      <c r="G49" s="34" t="inlineStr">
        <is>
          <t>由关键期限线性插值</t>
        </is>
      </c>
    </row>
    <row r="50">
      <c r="A50" s="24" t="inlineStr">
        <is>
          <t>47M</t>
        </is>
      </c>
      <c r="B50" s="30" t="n">
        <v>3.916666666666667</v>
      </c>
      <c r="C50" s="31" t="n">
        <v>0.014903</v>
      </c>
      <c r="D50" s="32">
        <f>1/(1+C50)^B50</f>
        <v/>
      </c>
      <c r="E50" s="33">
        <f>B50*D50</f>
        <v/>
      </c>
      <c r="F50" s="24" t="inlineStr">
        <is>
          <t>线性插值</t>
        </is>
      </c>
      <c r="G50" s="34" t="inlineStr">
        <is>
          <t>由关键期限线性插值</t>
        </is>
      </c>
    </row>
    <row r="51">
      <c r="A51" s="24" t="inlineStr">
        <is>
          <t>48M</t>
        </is>
      </c>
      <c r="B51" s="30" t="n">
        <v>4</v>
      </c>
      <c r="C51" s="31" t="n">
        <v>0.015</v>
      </c>
      <c r="D51" s="32">
        <f>1/(1+C51)^B51</f>
        <v/>
      </c>
      <c r="E51" s="33">
        <f>B51*D51</f>
        <v/>
      </c>
      <c r="F51" s="24" t="inlineStr">
        <is>
          <t>线性插值</t>
        </is>
      </c>
      <c r="G51" s="34" t="inlineStr">
        <is>
          <t>由关键期限线性插值</t>
        </is>
      </c>
    </row>
    <row r="52">
      <c r="A52" s="24" t="inlineStr">
        <is>
          <t>49M</t>
        </is>
      </c>
      <c r="B52" s="30" t="n">
        <v>4.083333333333333</v>
      </c>
      <c r="C52" s="31" t="n">
        <v>0.015109</v>
      </c>
      <c r="D52" s="32">
        <f>1/(1+C52)^B52</f>
        <v/>
      </c>
      <c r="E52" s="33">
        <f>B52*D52</f>
        <v/>
      </c>
      <c r="F52" s="24" t="inlineStr">
        <is>
          <t>线性插值</t>
        </is>
      </c>
      <c r="G52" s="34" t="inlineStr">
        <is>
          <t>由关键期限线性插值</t>
        </is>
      </c>
    </row>
    <row r="53">
      <c r="A53" s="24" t="inlineStr">
        <is>
          <t>50M</t>
        </is>
      </c>
      <c r="B53" s="30" t="n">
        <v>4.166666666666667</v>
      </c>
      <c r="C53" s="31" t="n">
        <v>0.015218</v>
      </c>
      <c r="D53" s="32">
        <f>1/(1+C53)^B53</f>
        <v/>
      </c>
      <c r="E53" s="33">
        <f>B53*D53</f>
        <v/>
      </c>
      <c r="F53" s="24" t="inlineStr">
        <is>
          <t>线性插值</t>
        </is>
      </c>
      <c r="G53" s="34" t="inlineStr">
        <is>
          <t>由关键期限线性插值</t>
        </is>
      </c>
    </row>
    <row r="54">
      <c r="A54" s="24" t="inlineStr">
        <is>
          <t>51M</t>
        </is>
      </c>
      <c r="B54" s="30" t="n">
        <v>4.25</v>
      </c>
      <c r="C54" s="31" t="n">
        <v>0.015327</v>
      </c>
      <c r="D54" s="32">
        <f>1/(1+C54)^B54</f>
        <v/>
      </c>
      <c r="E54" s="33">
        <f>B54*D54</f>
        <v/>
      </c>
      <c r="F54" s="24" t="inlineStr">
        <is>
          <t>线性插值</t>
        </is>
      </c>
      <c r="G54" s="34" t="inlineStr">
        <is>
          <t>由关键期限线性插值</t>
        </is>
      </c>
    </row>
    <row r="55">
      <c r="A55" s="24" t="inlineStr">
        <is>
          <t>52M</t>
        </is>
      </c>
      <c r="B55" s="30" t="n">
        <v>4.333333333333333</v>
      </c>
      <c r="C55" s="31" t="n">
        <v>0.015436</v>
      </c>
      <c r="D55" s="32">
        <f>1/(1+C55)^B55</f>
        <v/>
      </c>
      <c r="E55" s="33">
        <f>B55*D55</f>
        <v/>
      </c>
      <c r="F55" s="24" t="inlineStr">
        <is>
          <t>线性插值</t>
        </is>
      </c>
      <c r="G55" s="34" t="inlineStr">
        <is>
          <t>由关键期限线性插值</t>
        </is>
      </c>
    </row>
    <row r="56">
      <c r="A56" s="24" t="inlineStr">
        <is>
          <t>53M</t>
        </is>
      </c>
      <c r="B56" s="30" t="n">
        <v>4.416666666666667</v>
      </c>
      <c r="C56" s="31" t="n">
        <v>0.015545</v>
      </c>
      <c r="D56" s="32">
        <f>1/(1+C56)^B56</f>
        <v/>
      </c>
      <c r="E56" s="33">
        <f>B56*D56</f>
        <v/>
      </c>
      <c r="F56" s="24" t="inlineStr">
        <is>
          <t>线性插值</t>
        </is>
      </c>
      <c r="G56" s="34" t="inlineStr">
        <is>
          <t>由关键期限线性插值</t>
        </is>
      </c>
    </row>
    <row r="57">
      <c r="A57" s="24" t="inlineStr">
        <is>
          <t>54M</t>
        </is>
      </c>
      <c r="B57" s="30" t="n">
        <v>4.5</v>
      </c>
      <c r="C57" s="31" t="n">
        <v>0.015655</v>
      </c>
      <c r="D57" s="32">
        <f>1/(1+C57)^B57</f>
        <v/>
      </c>
      <c r="E57" s="33">
        <f>B57*D57</f>
        <v/>
      </c>
      <c r="F57" s="24" t="inlineStr">
        <is>
          <t>线性插值</t>
        </is>
      </c>
      <c r="G57" s="34" t="inlineStr">
        <is>
          <t>由关键期限线性插值</t>
        </is>
      </c>
    </row>
    <row r="58">
      <c r="A58" s="24" t="inlineStr">
        <is>
          <t>55M</t>
        </is>
      </c>
      <c r="B58" s="30" t="n">
        <v>4.583333333333333</v>
      </c>
      <c r="C58" s="31" t="n">
        <v>0.015764</v>
      </c>
      <c r="D58" s="32">
        <f>1/(1+C58)^B58</f>
        <v/>
      </c>
      <c r="E58" s="33">
        <f>B58*D58</f>
        <v/>
      </c>
      <c r="F58" s="24" t="inlineStr">
        <is>
          <t>线性插值</t>
        </is>
      </c>
      <c r="G58" s="34" t="inlineStr">
        <is>
          <t>由关键期限线性插值</t>
        </is>
      </c>
    </row>
    <row r="59">
      <c r="A59" s="24" t="inlineStr">
        <is>
          <t>56M</t>
        </is>
      </c>
      <c r="B59" s="30" t="n">
        <v>4.666666666666667</v>
      </c>
      <c r="C59" s="31" t="n">
        <v>0.015873</v>
      </c>
      <c r="D59" s="32">
        <f>1/(1+C59)^B59</f>
        <v/>
      </c>
      <c r="E59" s="33">
        <f>B59*D59</f>
        <v/>
      </c>
      <c r="F59" s="24" t="inlineStr">
        <is>
          <t>线性插值</t>
        </is>
      </c>
      <c r="G59" s="34" t="inlineStr">
        <is>
          <t>由关键期限线性插值</t>
        </is>
      </c>
    </row>
    <row r="60">
      <c r="A60" s="24" t="inlineStr">
        <is>
          <t>57M</t>
        </is>
      </c>
      <c r="B60" s="30" t="n">
        <v>4.75</v>
      </c>
      <c r="C60" s="31" t="n">
        <v>0.015982</v>
      </c>
      <c r="D60" s="32">
        <f>1/(1+C60)^B60</f>
        <v/>
      </c>
      <c r="E60" s="33">
        <f>B60*D60</f>
        <v/>
      </c>
      <c r="F60" s="24" t="inlineStr">
        <is>
          <t>线性插值</t>
        </is>
      </c>
      <c r="G60" s="34" t="inlineStr">
        <is>
          <t>由关键期限线性插值</t>
        </is>
      </c>
    </row>
    <row r="61">
      <c r="A61" s="24" t="inlineStr">
        <is>
          <t>58M</t>
        </is>
      </c>
      <c r="B61" s="30" t="n">
        <v>4.833333333333333</v>
      </c>
      <c r="C61" s="31" t="n">
        <v>0.016091</v>
      </c>
      <c r="D61" s="32">
        <f>1/(1+C61)^B61</f>
        <v/>
      </c>
      <c r="E61" s="33">
        <f>B61*D61</f>
        <v/>
      </c>
      <c r="F61" s="24" t="inlineStr">
        <is>
          <t>线性插值</t>
        </is>
      </c>
      <c r="G61" s="34" t="inlineStr">
        <is>
          <t>由关键期限线性插值</t>
        </is>
      </c>
    </row>
    <row r="62">
      <c r="A62" s="24" t="inlineStr">
        <is>
          <t>59M</t>
        </is>
      </c>
      <c r="B62" s="30" t="n">
        <v>4.916666666666667</v>
      </c>
      <c r="C62" s="31" t="n">
        <v>0.0162</v>
      </c>
      <c r="D62" s="32">
        <f>1/(1+C62)^B62</f>
        <v/>
      </c>
      <c r="E62" s="33">
        <f>B62*D62</f>
        <v/>
      </c>
      <c r="F62" s="24" t="inlineStr">
        <is>
          <t>线性插值</t>
        </is>
      </c>
      <c r="G62" s="34" t="inlineStr">
        <is>
          <t>由关键期限线性插值</t>
        </is>
      </c>
    </row>
    <row r="63">
      <c r="A63" s="24" t="inlineStr">
        <is>
          <t>60M</t>
        </is>
      </c>
      <c r="B63" s="30" t="n">
        <v>5</v>
      </c>
      <c r="C63" s="31" t="n">
        <v>0.016309</v>
      </c>
      <c r="D63" s="32">
        <f>1/(1+C63)^B63</f>
        <v/>
      </c>
      <c r="E63" s="33">
        <f>B63*D63</f>
        <v/>
      </c>
      <c r="F63" s="24" t="inlineStr">
        <is>
          <t>中债登</t>
        </is>
      </c>
      <c r="G63" s="34" t="inlineStr">
        <is>
          <t>关键期限官方数据</t>
        </is>
      </c>
    </row>
    <row r="64">
      <c r="A64" s="24" t="inlineStr">
        <is>
          <t>10Y</t>
        </is>
      </c>
      <c r="B64" s="30" t="n">
        <v>10</v>
      </c>
      <c r="C64" s="31" t="n">
        <v>0.018473</v>
      </c>
      <c r="D64" s="32">
        <f>1/(1+C64)^B64</f>
        <v/>
      </c>
      <c r="E64" s="33">
        <f>B64*D64</f>
        <v/>
      </c>
      <c r="F64" s="24" t="inlineStr">
        <is>
          <t>中债登</t>
        </is>
      </c>
      <c r="G64" s="34" t="inlineStr">
        <is>
          <t>关键期限官方数据</t>
        </is>
      </c>
    </row>
    <row r="65">
      <c r="A65" s="24" t="inlineStr">
        <is>
          <t>15Y</t>
        </is>
      </c>
      <c r="B65" s="30" t="n">
        <v>15</v>
      </c>
      <c r="C65" s="31" t="n">
        <v>0.0197</v>
      </c>
      <c r="D65" s="32">
        <f>1/(1+C65)^B65</f>
        <v/>
      </c>
      <c r="E65" s="33">
        <f>B65*D65</f>
        <v/>
      </c>
      <c r="F65" s="24" t="inlineStr">
        <is>
          <t>线性插值</t>
        </is>
      </c>
      <c r="G65" s="34" t="inlineStr">
        <is>
          <t>由关键期限线性插值</t>
        </is>
      </c>
    </row>
    <row r="66">
      <c r="A66" s="24" t="inlineStr">
        <is>
          <t>20Y</t>
        </is>
      </c>
      <c r="B66" s="30" t="n">
        <v>20</v>
      </c>
      <c r="C66" s="31" t="n">
        <v>0.021</v>
      </c>
      <c r="D66" s="32">
        <f>1/(1+C66)^B66</f>
        <v/>
      </c>
      <c r="E66" s="33">
        <f>B66*D66</f>
        <v/>
      </c>
      <c r="F66" s="24" t="inlineStr">
        <is>
          <t>线性插值</t>
        </is>
      </c>
      <c r="G66" s="34" t="inlineStr">
        <is>
          <t>由关键期限线性插值</t>
        </is>
      </c>
    </row>
    <row r="67">
      <c r="A67" s="24" t="inlineStr">
        <is>
          <t>30Y</t>
        </is>
      </c>
      <c r="B67" s="30" t="n">
        <v>30</v>
      </c>
      <c r="C67" s="31" t="n">
        <v>0.022674</v>
      </c>
      <c r="D67" s="32">
        <f>1/(1+C67)^B67</f>
        <v/>
      </c>
      <c r="E67" s="33">
        <f>B67*D67</f>
        <v/>
      </c>
      <c r="F67" s="24" t="inlineStr">
        <is>
          <t>中债登</t>
        </is>
      </c>
      <c r="G67" s="34" t="inlineStr">
        <is>
          <t>关键期限官方数据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9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1" customWidth="1" min="11" max="11"/>
    <col width="30" customWidth="1" min="12" max="12"/>
  </cols>
  <sheetData>
    <row r="1">
      <c r="A1" s="1" t="inlineStr">
        <is>
          <t>④ 利息收入明细 — 生息资产逐账户拆解</t>
        </is>
      </c>
    </row>
    <row r="2">
      <c r="A2" s="2" t="inlineStr">
        <is>
          <t>年度利息 = 当前余额 × 加权平均利率（= 参照物「平均利息收支」EM × 12）  |  非生息资产单列备查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业务条线</t>
        </is>
      </c>
      <c r="D3" s="3" t="inlineStr">
        <is>
          <t>账户类型</t>
        </is>
      </c>
      <c r="E3" s="3" t="inlineStr">
        <is>
          <t>当前余额
(亿元)</t>
        </is>
      </c>
      <c r="F3" s="3" t="inlineStr">
        <is>
          <t>加权平均
利率</t>
        </is>
      </c>
      <c r="G3" s="3" t="inlineStr">
        <is>
          <t>年度利息
(亿元/年)</t>
        </is>
      </c>
      <c r="H3" s="3" t="inlineStr">
        <is>
          <t>利息收入
占比</t>
        </is>
      </c>
      <c r="I3" s="3" t="inlineStr">
        <is>
          <t>累计占比</t>
        </is>
      </c>
      <c r="J3" s="3" t="inlineStr">
        <is>
          <t>1年内到期
(亿元)</t>
        </is>
      </c>
      <c r="K3" s="3" t="inlineStr">
        <is>
          <t>到期占比</t>
        </is>
      </c>
      <c r="L3" s="3" t="inlineStr">
        <is>
          <t>口径说明</t>
        </is>
      </c>
    </row>
    <row r="4">
      <c r="A4" s="4">
        <f>'①数据源'!A4</f>
        <v/>
      </c>
      <c r="B4" s="4">
        <f>'①数据源'!B4</f>
        <v/>
      </c>
      <c r="C4" s="4">
        <f>'①数据源'!D4</f>
        <v/>
      </c>
      <c r="D4" s="4">
        <f>'①数据源'!E4</f>
        <v/>
      </c>
      <c r="E4" s="7">
        <f>'①数据源'!F4</f>
        <v/>
      </c>
      <c r="F4" s="35">
        <f>'①数据源'!G4</f>
        <v/>
      </c>
      <c r="G4" s="7">
        <f>'①数据源'!I4</f>
        <v/>
      </c>
      <c r="H4" s="8">
        <f>IF($G$18=0,0,G4/$G$18)</f>
        <v/>
      </c>
      <c r="I4" s="8">
        <f>H4</f>
        <v/>
      </c>
      <c r="J4" s="7">
        <f>'①数据源'!J4</f>
        <v/>
      </c>
      <c r="K4" s="8">
        <f>IF(E4=0,0,J4/E4)</f>
        <v/>
      </c>
      <c r="L4" s="11" t="inlineStr">
        <is>
          <t>基础数据!R7 · β=0.529</t>
        </is>
      </c>
    </row>
    <row r="5">
      <c r="A5" s="4">
        <f>'①数据源'!A5</f>
        <v/>
      </c>
      <c r="B5" s="4">
        <f>'①数据源'!B5</f>
        <v/>
      </c>
      <c r="C5" s="4">
        <f>'①数据源'!D5</f>
        <v/>
      </c>
      <c r="D5" s="4">
        <f>'①数据源'!E5</f>
        <v/>
      </c>
      <c r="E5" s="7">
        <f>'①数据源'!F5</f>
        <v/>
      </c>
      <c r="F5" s="35">
        <f>'①数据源'!G5</f>
        <v/>
      </c>
      <c r="G5" s="7">
        <f>'①数据源'!I5</f>
        <v/>
      </c>
      <c r="H5" s="8">
        <f>IF($G$18=0,0,G5/$G$18)</f>
        <v/>
      </c>
      <c r="I5" s="8">
        <f>I4+H5</f>
        <v/>
      </c>
      <c r="J5" s="7">
        <f>'①数据源'!J5</f>
        <v/>
      </c>
      <c r="K5" s="8">
        <f>IF(E5=0,0,J5/E5)</f>
        <v/>
      </c>
      <c r="L5" s="11" t="inlineStr">
        <is>
          <t>基础数据!R8 · β=0.529</t>
        </is>
      </c>
    </row>
    <row r="6">
      <c r="A6" s="4">
        <f>'①数据源'!A6</f>
        <v/>
      </c>
      <c r="B6" s="4">
        <f>'①数据源'!B6</f>
        <v/>
      </c>
      <c r="C6" s="4">
        <f>'①数据源'!D6</f>
        <v/>
      </c>
      <c r="D6" s="4">
        <f>'①数据源'!E6</f>
        <v/>
      </c>
      <c r="E6" s="7">
        <f>'①数据源'!F6</f>
        <v/>
      </c>
      <c r="F6" s="35">
        <f>'①数据源'!G6</f>
        <v/>
      </c>
      <c r="G6" s="7">
        <f>'①数据源'!I6</f>
        <v/>
      </c>
      <c r="H6" s="8">
        <f>IF($G$18=0,0,G6/$G$18)</f>
        <v/>
      </c>
      <c r="I6" s="8">
        <f>I5+H6</f>
        <v/>
      </c>
      <c r="J6" s="7">
        <f>'①数据源'!J6</f>
        <v/>
      </c>
      <c r="K6" s="8">
        <f>IF(E6=0,0,J6/E6)</f>
        <v/>
      </c>
      <c r="L6" s="11" t="inlineStr">
        <is>
          <t>基础数据!R9 · β=0.529</t>
        </is>
      </c>
    </row>
    <row r="7">
      <c r="A7" s="4">
        <f>'①数据源'!A7</f>
        <v/>
      </c>
      <c r="B7" s="4">
        <f>'①数据源'!B7</f>
        <v/>
      </c>
      <c r="C7" s="4">
        <f>'①数据源'!D7</f>
        <v/>
      </c>
      <c r="D7" s="4">
        <f>'①数据源'!E7</f>
        <v/>
      </c>
      <c r="E7" s="7">
        <f>'①数据源'!F7</f>
        <v/>
      </c>
      <c r="F7" s="35">
        <f>'①数据源'!G7</f>
        <v/>
      </c>
      <c r="G7" s="7">
        <f>'①数据源'!I7</f>
        <v/>
      </c>
      <c r="H7" s="8">
        <f>IF($G$18=0,0,G7/$G$18)</f>
        <v/>
      </c>
      <c r="I7" s="8">
        <f>I6+H7</f>
        <v/>
      </c>
      <c r="J7" s="7">
        <f>'①数据源'!J7</f>
        <v/>
      </c>
      <c r="K7" s="8">
        <f>IF(E7=0,0,J7/E7)</f>
        <v/>
      </c>
      <c r="L7" s="11" t="inlineStr">
        <is>
          <t>基础数据!R10 · β=0.529</t>
        </is>
      </c>
    </row>
    <row r="8">
      <c r="A8" s="4">
        <f>'①数据源'!A8</f>
        <v/>
      </c>
      <c r="B8" s="4">
        <f>'①数据源'!B8</f>
        <v/>
      </c>
      <c r="C8" s="4">
        <f>'①数据源'!D8</f>
        <v/>
      </c>
      <c r="D8" s="4">
        <f>'①数据源'!E8</f>
        <v/>
      </c>
      <c r="E8" s="7">
        <f>'①数据源'!F8</f>
        <v/>
      </c>
      <c r="F8" s="35">
        <f>'①数据源'!G8</f>
        <v/>
      </c>
      <c r="G8" s="7">
        <f>'①数据源'!I8</f>
        <v/>
      </c>
      <c r="H8" s="8">
        <f>IF($G$18=0,0,G8/$G$18)</f>
        <v/>
      </c>
      <c r="I8" s="8">
        <f>I7+H8</f>
        <v/>
      </c>
      <c r="J8" s="7">
        <f>'①数据源'!J8</f>
        <v/>
      </c>
      <c r="K8" s="8">
        <f>IF(E8=0,0,J8/E8)</f>
        <v/>
      </c>
      <c r="L8" s="11" t="inlineStr">
        <is>
          <t>基础数据!R11 · β=0.529</t>
        </is>
      </c>
    </row>
    <row r="9">
      <c r="A9" s="4">
        <f>'①数据源'!A9</f>
        <v/>
      </c>
      <c r="B9" s="4">
        <f>'①数据源'!B9</f>
        <v/>
      </c>
      <c r="C9" s="4">
        <f>'①数据源'!D9</f>
        <v/>
      </c>
      <c r="D9" s="4">
        <f>'①数据源'!E9</f>
        <v/>
      </c>
      <c r="E9" s="7">
        <f>'①数据源'!F9</f>
        <v/>
      </c>
      <c r="F9" s="35">
        <f>'①数据源'!G9</f>
        <v/>
      </c>
      <c r="G9" s="7">
        <f>'①数据源'!I9</f>
        <v/>
      </c>
      <c r="H9" s="8">
        <f>IF($G$18=0,0,G9/$G$18)</f>
        <v/>
      </c>
      <c r="I9" s="8">
        <f>I8+H9</f>
        <v/>
      </c>
      <c r="J9" s="7">
        <f>'①数据源'!J9</f>
        <v/>
      </c>
      <c r="K9" s="8">
        <f>IF(E9=0,0,J9/E9)</f>
        <v/>
      </c>
      <c r="L9" s="11" t="inlineStr">
        <is>
          <t>基础数据!R14 · β=0.529</t>
        </is>
      </c>
    </row>
    <row r="10">
      <c r="A10" s="4">
        <f>'①数据源'!A10</f>
        <v/>
      </c>
      <c r="B10" s="4">
        <f>'①数据源'!B10</f>
        <v/>
      </c>
      <c r="C10" s="4">
        <f>'①数据源'!D10</f>
        <v/>
      </c>
      <c r="D10" s="4">
        <f>'①数据源'!E10</f>
        <v/>
      </c>
      <c r="E10" s="7">
        <f>'①数据源'!F10</f>
        <v/>
      </c>
      <c r="F10" s="35">
        <f>'①数据源'!G10</f>
        <v/>
      </c>
      <c r="G10" s="7">
        <f>'①数据源'!I10</f>
        <v/>
      </c>
      <c r="H10" s="8">
        <f>IF($G$18=0,0,G10/$G$18)</f>
        <v/>
      </c>
      <c r="I10" s="8">
        <f>I9+H10</f>
        <v/>
      </c>
      <c r="J10" s="7">
        <f>'①数据源'!J10</f>
        <v/>
      </c>
      <c r="K10" s="8">
        <f>IF(E10=0,0,J10/E10)</f>
        <v/>
      </c>
      <c r="L10" s="11" t="inlineStr">
        <is>
          <t>基础数据!R15 · β=0.529</t>
        </is>
      </c>
    </row>
    <row r="11">
      <c r="A11" s="4">
        <f>'①数据源'!A11</f>
        <v/>
      </c>
      <c r="B11" s="4">
        <f>'①数据源'!B11</f>
        <v/>
      </c>
      <c r="C11" s="4">
        <f>'①数据源'!D11</f>
        <v/>
      </c>
      <c r="D11" s="4">
        <f>'①数据源'!E11</f>
        <v/>
      </c>
      <c r="E11" s="7">
        <f>'①数据源'!F11</f>
        <v/>
      </c>
      <c r="F11" s="35">
        <f>'①数据源'!G11</f>
        <v/>
      </c>
      <c r="G11" s="7">
        <f>'①数据源'!I11</f>
        <v/>
      </c>
      <c r="H11" s="8">
        <f>IF($G$18=0,0,G11/$G$18)</f>
        <v/>
      </c>
      <c r="I11" s="8">
        <f>I10+H11</f>
        <v/>
      </c>
      <c r="J11" s="7">
        <f>'①数据源'!J11</f>
        <v/>
      </c>
      <c r="K11" s="8">
        <f>IF(E11=0,0,J11/E11)</f>
        <v/>
      </c>
      <c r="L11" s="11" t="inlineStr">
        <is>
          <t>基础数据!R16 · β=0.529</t>
        </is>
      </c>
    </row>
    <row r="12">
      <c r="A12" s="4">
        <f>'①数据源'!A12</f>
        <v/>
      </c>
      <c r="B12" s="4">
        <f>'①数据源'!B12</f>
        <v/>
      </c>
      <c r="C12" s="4">
        <f>'①数据源'!D12</f>
        <v/>
      </c>
      <c r="D12" s="4">
        <f>'①数据源'!E12</f>
        <v/>
      </c>
      <c r="E12" s="7">
        <f>'①数据源'!F12</f>
        <v/>
      </c>
      <c r="F12" s="35">
        <f>'①数据源'!G12</f>
        <v/>
      </c>
      <c r="G12" s="7">
        <f>'①数据源'!I12</f>
        <v/>
      </c>
      <c r="H12" s="8">
        <f>IF($G$18=0,0,G12/$G$18)</f>
        <v/>
      </c>
      <c r="I12" s="8">
        <f>I11+H12</f>
        <v/>
      </c>
      <c r="J12" s="7">
        <f>'①数据源'!J12</f>
        <v/>
      </c>
      <c r="K12" s="8">
        <f>IF(E12=0,0,J12/E12)</f>
        <v/>
      </c>
      <c r="L12" s="11" t="inlineStr">
        <is>
          <t>基础数据!R17 · β=0.529</t>
        </is>
      </c>
    </row>
    <row r="13">
      <c r="A13" s="4">
        <f>'①数据源'!A13</f>
        <v/>
      </c>
      <c r="B13" s="4">
        <f>'①数据源'!B13</f>
        <v/>
      </c>
      <c r="C13" s="4">
        <f>'①数据源'!D13</f>
        <v/>
      </c>
      <c r="D13" s="4">
        <f>'①数据源'!E13</f>
        <v/>
      </c>
      <c r="E13" s="7">
        <f>'①数据源'!F13</f>
        <v/>
      </c>
      <c r="F13" s="35">
        <f>'①数据源'!G13</f>
        <v/>
      </c>
      <c r="G13" s="7">
        <f>'①数据源'!I13</f>
        <v/>
      </c>
      <c r="H13" s="8">
        <f>IF($G$18=0,0,G13/$G$18)</f>
        <v/>
      </c>
      <c r="I13" s="8">
        <f>I12+H13</f>
        <v/>
      </c>
      <c r="J13" s="7">
        <f>'①数据源'!J13</f>
        <v/>
      </c>
      <c r="K13" s="8">
        <f>IF(E13=0,0,J13/E13)</f>
        <v/>
      </c>
      <c r="L13" s="11" t="inlineStr">
        <is>
          <t>基础数据!R18 · β=0.529</t>
        </is>
      </c>
    </row>
    <row r="14">
      <c r="A14" s="4">
        <f>'①数据源'!A14</f>
        <v/>
      </c>
      <c r="B14" s="4">
        <f>'①数据源'!B14</f>
        <v/>
      </c>
      <c r="C14" s="4">
        <f>'①数据源'!D14</f>
        <v/>
      </c>
      <c r="D14" s="4">
        <f>'①数据源'!E14</f>
        <v/>
      </c>
      <c r="E14" s="7">
        <f>'①数据源'!F14</f>
        <v/>
      </c>
      <c r="F14" s="35">
        <f>'①数据源'!G14</f>
        <v/>
      </c>
      <c r="G14" s="7">
        <f>'①数据源'!I14</f>
        <v/>
      </c>
      <c r="H14" s="8">
        <f>IF($G$18=0,0,G14/$G$18)</f>
        <v/>
      </c>
      <c r="I14" s="8">
        <f>I13+H14</f>
        <v/>
      </c>
      <c r="J14" s="7">
        <f>'①数据源'!J14</f>
        <v/>
      </c>
      <c r="K14" s="8">
        <f>IF(E14=0,0,J14/E14)</f>
        <v/>
      </c>
      <c r="L14" s="11" t="inlineStr">
        <is>
          <t>基础数据!R20 · β=0.529</t>
        </is>
      </c>
    </row>
    <row r="15">
      <c r="A15" s="4">
        <f>'①数据源'!A16</f>
        <v/>
      </c>
      <c r="B15" s="4">
        <f>'①数据源'!B16</f>
        <v/>
      </c>
      <c r="C15" s="4">
        <f>'①数据源'!D16</f>
        <v/>
      </c>
      <c r="D15" s="4">
        <f>'①数据源'!E16</f>
        <v/>
      </c>
      <c r="E15" s="7">
        <f>'①数据源'!F16</f>
        <v/>
      </c>
      <c r="F15" s="35">
        <f>'①数据源'!G16</f>
        <v/>
      </c>
      <c r="G15" s="7">
        <f>'①数据源'!I16</f>
        <v/>
      </c>
      <c r="H15" s="8">
        <f>IF($G$18=0,0,G15/$G$18)</f>
        <v/>
      </c>
      <c r="I15" s="8">
        <f>I14+H15</f>
        <v/>
      </c>
      <c r="J15" s="7">
        <f>'①数据源'!J16</f>
        <v/>
      </c>
      <c r="K15" s="8">
        <f>IF(E15=0,0,J15/E15)</f>
        <v/>
      </c>
      <c r="L15" s="11" t="inlineStr">
        <is>
          <t>基础数据!R23 · β=0.529</t>
        </is>
      </c>
    </row>
    <row r="16">
      <c r="A16" s="4">
        <f>'①数据源'!A17</f>
        <v/>
      </c>
      <c r="B16" s="4">
        <f>'①数据源'!B17</f>
        <v/>
      </c>
      <c r="C16" s="4">
        <f>'①数据源'!D17</f>
        <v/>
      </c>
      <c r="D16" s="4">
        <f>'①数据源'!E17</f>
        <v/>
      </c>
      <c r="E16" s="7">
        <f>'①数据源'!F17</f>
        <v/>
      </c>
      <c r="F16" s="35">
        <f>'①数据源'!G17</f>
        <v/>
      </c>
      <c r="G16" s="7">
        <f>'①数据源'!I17</f>
        <v/>
      </c>
      <c r="H16" s="8">
        <f>IF($G$18=0,0,G16/$G$18)</f>
        <v/>
      </c>
      <c r="I16" s="8">
        <f>I15+H16</f>
        <v/>
      </c>
      <c r="J16" s="7">
        <f>'①数据源'!J17</f>
        <v/>
      </c>
      <c r="K16" s="8">
        <f>IF(E16=0,0,J16/E16)</f>
        <v/>
      </c>
      <c r="L16" s="11" t="inlineStr">
        <is>
          <t>基础数据!R25 · β=0.529</t>
        </is>
      </c>
    </row>
    <row r="17">
      <c r="A17" s="4">
        <f>'①数据源'!A18</f>
        <v/>
      </c>
      <c r="B17" s="4">
        <f>'①数据源'!B18</f>
        <v/>
      </c>
      <c r="C17" s="4">
        <f>'①数据源'!D18</f>
        <v/>
      </c>
      <c r="D17" s="4">
        <f>'①数据源'!E18</f>
        <v/>
      </c>
      <c r="E17" s="7">
        <f>'①数据源'!F18</f>
        <v/>
      </c>
      <c r="F17" s="35">
        <f>'①数据源'!G18</f>
        <v/>
      </c>
      <c r="G17" s="7">
        <f>'①数据源'!I18</f>
        <v/>
      </c>
      <c r="H17" s="8">
        <f>IF($G$18=0,0,G17/$G$18)</f>
        <v/>
      </c>
      <c r="I17" s="8">
        <f>I16+H17</f>
        <v/>
      </c>
      <c r="J17" s="7">
        <f>'①数据源'!J18</f>
        <v/>
      </c>
      <c r="K17" s="8">
        <f>IF(E17=0,0,J17/E17)</f>
        <v/>
      </c>
      <c r="L17" s="11" t="inlineStr">
        <is>
          <t>基础数据!R26 · β=0.529</t>
        </is>
      </c>
    </row>
    <row r="18">
      <c r="A18" s="17" t="n"/>
      <c r="B18" s="18" t="inlineStr">
        <is>
          <t>利息收入合计（生息资产）</t>
        </is>
      </c>
      <c r="C18" s="17" t="n"/>
      <c r="D18" s="17" t="n"/>
      <c r="E18" s="19">
        <f>SUM(E4:E17)</f>
        <v/>
      </c>
      <c r="F18" s="20">
        <f>IF(E18=0,0,G18/E18)</f>
        <v/>
      </c>
      <c r="G18" s="19">
        <f>SUM(G4:G17)</f>
        <v/>
      </c>
      <c r="H18" s="21">
        <f>SUM(H4:H17)</f>
        <v/>
      </c>
      <c r="I18" s="21">
        <f>I17</f>
        <v/>
      </c>
      <c r="J18" s="19">
        <f>SUM(J4:J17)</f>
        <v/>
      </c>
      <c r="K18" s="21">
        <f>IF(E18=0,0,J18/E18)</f>
        <v/>
      </c>
      <c r="L18" s="22" t="inlineStr">
        <is>
          <t>F 列 = 加权平均收益率 · H 列合计应为 100% · K 列 = 1 年内到期占比</t>
        </is>
      </c>
    </row>
    <row r="20">
      <c r="A20" s="36" t="inlineStr">
        <is>
          <t>【附】非生息资产（加权平均利率 = 0，不计入利息收入与 NIM 分母）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>
      <c r="A21" s="38" t="n"/>
      <c r="B21" s="4">
        <f>'①数据源'!B15</f>
        <v/>
      </c>
      <c r="C21" s="38" t="n"/>
      <c r="D21" s="38" t="n"/>
      <c r="E21" s="7">
        <f>'①数据源'!F15</f>
        <v/>
      </c>
      <c r="F21" s="35">
        <f>'①数据源'!G15</f>
        <v/>
      </c>
      <c r="G21" s="7">
        <f>'①数据源'!I15</f>
        <v/>
      </c>
      <c r="H21" s="38" t="n"/>
      <c r="I21" s="38" t="n"/>
      <c r="J21" s="38" t="n"/>
      <c r="K21" s="38" t="n"/>
      <c r="L21" s="11" t="inlineStr">
        <is>
          <t>利率 0%，无利息收入，已从 NIM 分母剔除</t>
        </is>
      </c>
    </row>
    <row r="22">
      <c r="A22" s="38" t="n"/>
      <c r="B22" s="4">
        <f>'①数据源'!B19</f>
        <v/>
      </c>
      <c r="C22" s="38" t="n"/>
      <c r="D22" s="38" t="n"/>
      <c r="E22" s="7">
        <f>'①数据源'!F19</f>
        <v/>
      </c>
      <c r="F22" s="35">
        <f>'①数据源'!G19</f>
        <v/>
      </c>
      <c r="G22" s="7">
        <f>'①数据源'!I19</f>
        <v/>
      </c>
      <c r="H22" s="38" t="n"/>
      <c r="I22" s="38" t="n"/>
      <c r="J22" s="38" t="n"/>
      <c r="K22" s="38" t="n"/>
      <c r="L22" s="11" t="inlineStr">
        <is>
          <t>利率 0%，无利息收入，已从 NIM 分母剔除</t>
        </is>
      </c>
    </row>
    <row r="23">
      <c r="A23" s="17" t="n"/>
      <c r="B23" s="18" t="inlineStr">
        <is>
          <t>非生息资产合计（备查）</t>
        </is>
      </c>
      <c r="C23" s="17" t="n"/>
      <c r="D23" s="17" t="n"/>
      <c r="E23" s="19">
        <f>SUM(E21:E22)</f>
        <v/>
      </c>
      <c r="F23" s="17" t="n"/>
      <c r="G23" s="19">
        <f>SUM(G21:G22)</f>
        <v/>
      </c>
      <c r="H23" s="17" t="n"/>
      <c r="I23" s="17" t="n"/>
      <c r="J23" s="17" t="n"/>
      <c r="K23" s="17" t="n"/>
      <c r="L23" s="17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9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1" customWidth="1" min="11" max="11"/>
    <col width="30" customWidth="1" min="12" max="12"/>
  </cols>
  <sheetData>
    <row r="1">
      <c r="A1" s="1" t="inlineStr">
        <is>
          <t>⑤ 利息支出明细 — 计息负债逐账户拆解</t>
        </is>
      </c>
    </row>
    <row r="2">
      <c r="A2" s="2" t="inlineStr">
        <is>
          <t>年度利息 = 当前余额 × 加权平均利率  |  活期存款为 3 桶结构（3 个月内到期），重定价快于资产端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业务条线</t>
        </is>
      </c>
      <c r="D3" s="3" t="inlineStr">
        <is>
          <t>账户类型</t>
        </is>
      </c>
      <c r="E3" s="3" t="inlineStr">
        <is>
          <t>当前余额
(亿元)</t>
        </is>
      </c>
      <c r="F3" s="3" t="inlineStr">
        <is>
          <t>加权平均
利率</t>
        </is>
      </c>
      <c r="G3" s="3" t="inlineStr">
        <is>
          <t>年度利息
(亿元/年)</t>
        </is>
      </c>
      <c r="H3" s="3" t="inlineStr">
        <is>
          <t>利息支出
占比</t>
        </is>
      </c>
      <c r="I3" s="3" t="inlineStr">
        <is>
          <t>累计占比</t>
        </is>
      </c>
      <c r="J3" s="3" t="inlineStr">
        <is>
          <t>1年内到期
(亿元)</t>
        </is>
      </c>
      <c r="K3" s="3" t="inlineStr">
        <is>
          <t>到期占比</t>
        </is>
      </c>
      <c r="L3" s="3" t="inlineStr">
        <is>
          <t>口径说明</t>
        </is>
      </c>
    </row>
    <row r="4">
      <c r="A4" s="12">
        <f>'①数据源'!A20</f>
        <v/>
      </c>
      <c r="B4" s="12">
        <f>'①数据源'!B20</f>
        <v/>
      </c>
      <c r="C4" s="12">
        <f>'①数据源'!D20</f>
        <v/>
      </c>
      <c r="D4" s="12">
        <f>'①数据源'!E20</f>
        <v/>
      </c>
      <c r="E4" s="39">
        <f>'①数据源'!F20</f>
        <v/>
      </c>
      <c r="F4" s="40">
        <f>'①数据源'!G20</f>
        <v/>
      </c>
      <c r="G4" s="39">
        <f>'①数据源'!I20</f>
        <v/>
      </c>
      <c r="H4" s="41">
        <f>IF($G$11=0,0,G4/$G$11)</f>
        <v/>
      </c>
      <c r="I4" s="41">
        <f>H4</f>
        <v/>
      </c>
      <c r="J4" s="39">
        <f>'①数据源'!J20</f>
        <v/>
      </c>
      <c r="K4" s="41">
        <f>IF(E4=0,0,J4/E4)</f>
        <v/>
      </c>
      <c r="L4" s="16" t="inlineStr">
        <is>
          <t>基础数据!R33 · β=0.980</t>
        </is>
      </c>
    </row>
    <row r="5">
      <c r="A5" s="12">
        <f>'①数据源'!A21</f>
        <v/>
      </c>
      <c r="B5" s="12">
        <f>'①数据源'!B21</f>
        <v/>
      </c>
      <c r="C5" s="12">
        <f>'①数据源'!D21</f>
        <v/>
      </c>
      <c r="D5" s="12">
        <f>'①数据源'!E21</f>
        <v/>
      </c>
      <c r="E5" s="39">
        <f>'①数据源'!F21</f>
        <v/>
      </c>
      <c r="F5" s="40">
        <f>'①数据源'!G21</f>
        <v/>
      </c>
      <c r="G5" s="39">
        <f>'①数据源'!I21</f>
        <v/>
      </c>
      <c r="H5" s="41">
        <f>IF($G$11=0,0,G5/$G$11)</f>
        <v/>
      </c>
      <c r="I5" s="41">
        <f>I4+H5</f>
        <v/>
      </c>
      <c r="J5" s="39">
        <f>'①数据源'!J21</f>
        <v/>
      </c>
      <c r="K5" s="41">
        <f>IF(E5=0,0,J5/E5)</f>
        <v/>
      </c>
      <c r="L5" s="16" t="inlineStr">
        <is>
          <t>基础数据!R34 · β=0.980</t>
        </is>
      </c>
    </row>
    <row r="6">
      <c r="A6" s="12">
        <f>'①数据源'!A22</f>
        <v/>
      </c>
      <c r="B6" s="12">
        <f>'①数据源'!B22</f>
        <v/>
      </c>
      <c r="C6" s="12">
        <f>'①数据源'!D22</f>
        <v/>
      </c>
      <c r="D6" s="12">
        <f>'①数据源'!E22</f>
        <v/>
      </c>
      <c r="E6" s="39">
        <f>'①数据源'!F22</f>
        <v/>
      </c>
      <c r="F6" s="40">
        <f>'①数据源'!G22</f>
        <v/>
      </c>
      <c r="G6" s="39">
        <f>'①数据源'!I22</f>
        <v/>
      </c>
      <c r="H6" s="41">
        <f>IF($G$11=0,0,G6/$G$11)</f>
        <v/>
      </c>
      <c r="I6" s="41">
        <f>I5+H6</f>
        <v/>
      </c>
      <c r="J6" s="39">
        <f>'①数据源'!J22</f>
        <v/>
      </c>
      <c r="K6" s="41">
        <f>IF(E6=0,0,J6/E6)</f>
        <v/>
      </c>
      <c r="L6" s="16" t="inlineStr">
        <is>
          <t>基础数据!R36 · β=0.980</t>
        </is>
      </c>
    </row>
    <row r="7">
      <c r="A7" s="12">
        <f>'①数据源'!A23</f>
        <v/>
      </c>
      <c r="B7" s="12">
        <f>'①数据源'!B23</f>
        <v/>
      </c>
      <c r="C7" s="12">
        <f>'①数据源'!D23</f>
        <v/>
      </c>
      <c r="D7" s="12">
        <f>'①数据源'!E23</f>
        <v/>
      </c>
      <c r="E7" s="39">
        <f>'①数据源'!F23</f>
        <v/>
      </c>
      <c r="F7" s="40">
        <f>'①数据源'!G23</f>
        <v/>
      </c>
      <c r="G7" s="39">
        <f>'①数据源'!I23</f>
        <v/>
      </c>
      <c r="H7" s="41">
        <f>IF($G$11=0,0,G7/$G$11)</f>
        <v/>
      </c>
      <c r="I7" s="41">
        <f>I6+H7</f>
        <v/>
      </c>
      <c r="J7" s="39">
        <f>'①数据源'!J23</f>
        <v/>
      </c>
      <c r="K7" s="41">
        <f>IF(E7=0,0,J7/E7)</f>
        <v/>
      </c>
      <c r="L7" s="16" t="inlineStr">
        <is>
          <t>基础数据!R37 · β=0.980</t>
        </is>
      </c>
    </row>
    <row r="8">
      <c r="A8" s="12">
        <f>'①数据源'!A24</f>
        <v/>
      </c>
      <c r="B8" s="12">
        <f>'①数据源'!B24</f>
        <v/>
      </c>
      <c r="C8" s="12">
        <f>'①数据源'!D24</f>
        <v/>
      </c>
      <c r="D8" s="12">
        <f>'①数据源'!E24</f>
        <v/>
      </c>
      <c r="E8" s="39">
        <f>'①数据源'!F24</f>
        <v/>
      </c>
      <c r="F8" s="40">
        <f>'①数据源'!G24</f>
        <v/>
      </c>
      <c r="G8" s="39">
        <f>'①数据源'!I24</f>
        <v/>
      </c>
      <c r="H8" s="41">
        <f>IF($G$11=0,0,G8/$G$11)</f>
        <v/>
      </c>
      <c r="I8" s="41">
        <f>I7+H8</f>
        <v/>
      </c>
      <c r="J8" s="39">
        <f>'①数据源'!J24</f>
        <v/>
      </c>
      <c r="K8" s="41">
        <f>IF(E8=0,0,J8/E8)</f>
        <v/>
      </c>
      <c r="L8" s="16" t="inlineStr">
        <is>
          <t>基础数据!R38 · β=0.980</t>
        </is>
      </c>
    </row>
    <row r="9">
      <c r="A9" s="12">
        <f>'①数据源'!A25</f>
        <v/>
      </c>
      <c r="B9" s="12">
        <f>'①数据源'!B25</f>
        <v/>
      </c>
      <c r="C9" s="12">
        <f>'①数据源'!D25</f>
        <v/>
      </c>
      <c r="D9" s="12">
        <f>'①数据源'!E25</f>
        <v/>
      </c>
      <c r="E9" s="39">
        <f>'①数据源'!F25</f>
        <v/>
      </c>
      <c r="F9" s="40">
        <f>'①数据源'!G25</f>
        <v/>
      </c>
      <c r="G9" s="39">
        <f>'①数据源'!I25</f>
        <v/>
      </c>
      <c r="H9" s="41">
        <f>IF($G$11=0,0,G9/$G$11)</f>
        <v/>
      </c>
      <c r="I9" s="41">
        <f>I8+H9</f>
        <v/>
      </c>
      <c r="J9" s="39">
        <f>'①数据源'!J25</f>
        <v/>
      </c>
      <c r="K9" s="41">
        <f>IF(E9=0,0,J9/E9)</f>
        <v/>
      </c>
      <c r="L9" s="16" t="inlineStr">
        <is>
          <t>基础数据!R40 · β=0.980</t>
        </is>
      </c>
    </row>
    <row r="10">
      <c r="A10" s="12">
        <f>'①数据源'!A26</f>
        <v/>
      </c>
      <c r="B10" s="12">
        <f>'①数据源'!B26</f>
        <v/>
      </c>
      <c r="C10" s="12">
        <f>'①数据源'!D26</f>
        <v/>
      </c>
      <c r="D10" s="12">
        <f>'①数据源'!E26</f>
        <v/>
      </c>
      <c r="E10" s="39">
        <f>'①数据源'!F26</f>
        <v/>
      </c>
      <c r="F10" s="40">
        <f>'①数据源'!G26</f>
        <v/>
      </c>
      <c r="G10" s="39">
        <f>'①数据源'!I26</f>
        <v/>
      </c>
      <c r="H10" s="41">
        <f>IF($G$11=0,0,G10/$G$11)</f>
        <v/>
      </c>
      <c r="I10" s="41">
        <f>I9+H10</f>
        <v/>
      </c>
      <c r="J10" s="39">
        <f>'①数据源'!J26</f>
        <v/>
      </c>
      <c r="K10" s="41">
        <f>IF(E10=0,0,J10/E10)</f>
        <v/>
      </c>
      <c r="L10" s="16" t="inlineStr">
        <is>
          <t>基础数据!R41 · β=0.980</t>
        </is>
      </c>
    </row>
    <row r="11">
      <c r="A11" s="17" t="n"/>
      <c r="B11" s="18" t="inlineStr">
        <is>
          <t>利息支出合计（计息负债）</t>
        </is>
      </c>
      <c r="C11" s="17" t="n"/>
      <c r="D11" s="17" t="n"/>
      <c r="E11" s="19">
        <f>SUM(E4:E10)</f>
        <v/>
      </c>
      <c r="F11" s="20">
        <f>IF(E11=0,0,G11/E11)</f>
        <v/>
      </c>
      <c r="G11" s="19">
        <f>SUM(G4:G10)</f>
        <v/>
      </c>
      <c r="H11" s="21">
        <f>SUM(H4:H10)</f>
        <v/>
      </c>
      <c r="I11" s="21">
        <f>I10</f>
        <v/>
      </c>
      <c r="J11" s="19">
        <f>SUM(J4:J10)</f>
        <v/>
      </c>
      <c r="K11" s="21">
        <f>IF(E11=0,0,J11/E11)</f>
        <v/>
      </c>
      <c r="L11" s="22" t="inlineStr">
        <is>
          <t>F 列 = 加权平均成本率 · H 列合计应为 100% · K 列 = 1 年内到期占比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12" customWidth="1" min="4" max="4"/>
    <col width="48" customWidth="1" min="5" max="5"/>
  </cols>
  <sheetData>
    <row r="1">
      <c r="A1" s="1" t="inlineStr">
        <is>
          <t>⑥ 净利息收入（NII）计量表 — 基于 prcp_basic_20251231.xlsx 真实数据</t>
        </is>
      </c>
    </row>
    <row r="2">
      <c r="A2" s="2" t="inlineStr">
        <is>
          <t>NII = 利息收入 − 利息支出  |  NIM = NII ÷ 生息资产  |  引用「④利息收入明细」「⑤利息支出明细」逐级联动  |  单位：亿元 / 亿元每年 / %</t>
        </is>
      </c>
    </row>
    <row r="4">
      <c r="A4" s="36" t="inlineStr">
        <is>
          <t>【一】生息资产与计息负债规模</t>
        </is>
      </c>
      <c r="B4" s="37" t="n"/>
      <c r="C4" s="37" t="n"/>
      <c r="D4" s="37" t="n"/>
      <c r="E4" s="37" t="n"/>
    </row>
    <row r="5">
      <c r="A5" s="24" t="inlineStr">
        <is>
          <t>生息资产合计（加权平均利率 &gt; 0）</t>
        </is>
      </c>
      <c r="B5" s="27">
        <f>'④利息收入明细'!E18</f>
        <v/>
      </c>
      <c r="C5" s="28">
        <f>IF($B$5=0,0,B5/$B$5)</f>
        <v/>
      </c>
      <c r="D5" s="34" t="inlineStr">
        <is>
          <t>亿元</t>
        </is>
      </c>
      <c r="E5" s="34" t="inlineStr">
        <is>
          <t>剔除非生息资产后的 NIM 分母</t>
        </is>
      </c>
    </row>
    <row r="6">
      <c r="A6" s="24" t="inlineStr">
        <is>
          <t>其中：已剔除非生息资产</t>
        </is>
      </c>
      <c r="B6" s="27">
        <f>'④利息收入明细'!E23</f>
        <v/>
      </c>
      <c r="C6" s="28">
        <f>IF($B$5=0,0,B6/$B$5)</f>
        <v/>
      </c>
      <c r="D6" s="34" t="inlineStr">
        <is>
          <t>亿元</t>
        </is>
      </c>
      <c r="E6" s="34" t="inlineStr">
        <is>
          <t>加权平均利率 = 0，不计入分母</t>
        </is>
      </c>
    </row>
    <row r="7">
      <c r="A7" s="24" t="inlineStr">
        <is>
          <t>计息负债合计</t>
        </is>
      </c>
      <c r="B7" s="27">
        <f>'⑤利息支出明细'!E11</f>
        <v/>
      </c>
      <c r="C7" s="28">
        <f>IF($B$5=0,0,B7/$B$5)</f>
        <v/>
      </c>
      <c r="D7" s="34" t="inlineStr">
        <is>
          <t>亿元</t>
        </is>
      </c>
      <c r="E7" s="34" t="inlineStr">
        <is>
          <t>7 个计息负债账户</t>
        </is>
      </c>
    </row>
    <row r="8">
      <c r="A8" s="24" t="inlineStr">
        <is>
          <t>其中：存款类负债</t>
        </is>
      </c>
      <c r="B8" s="27">
        <f>SUMIF('①数据源'!$E$4:$E$27,"活期",'①数据源'!$F$4:$F$27)+SUMIF('①数据源'!$E$4:$E$27,"定期",'①数据源'!$F$4:$F$27)</f>
        <v/>
      </c>
      <c r="C8" s="28">
        <f>IF($B$5=0,0,B8/$B$5)</f>
        <v/>
      </c>
      <c r="D8" s="34" t="inlineStr">
        <is>
          <t>亿元</t>
        </is>
      </c>
      <c r="E8" s="34" t="inlineStr">
        <is>
          <t>活期 380,000 + 定期 420,000</t>
        </is>
      </c>
    </row>
    <row r="9">
      <c r="A9" s="24" t="inlineStr">
        <is>
          <t>其中：市场化负债</t>
        </is>
      </c>
      <c r="B9" s="27">
        <f>SUMIF('①数据源'!$E$4:$E$27,"同业",'①数据源'!$F$4:$F$27)</f>
        <v/>
      </c>
      <c r="C9" s="28">
        <f>IF($B$5=0,0,B9/$B$5)</f>
        <v/>
      </c>
      <c r="D9" s="34" t="inlineStr">
        <is>
          <t>亿元</t>
        </is>
      </c>
      <c r="E9" s="34" t="inlineStr">
        <is>
          <t>人民币市场化负债</t>
        </is>
      </c>
    </row>
    <row r="10">
      <c r="A10" s="24" t="inlineStr">
        <is>
          <t>其中：外币负债</t>
        </is>
      </c>
      <c r="B10" s="27">
        <f>SUMIF('①数据源'!$E$4:$E$27,"外币",'①数据源'!$F$4:$F$27)-SUMIF('①数据源'!$C$4:$C$27,"负债",'①数据源'!$F$4:$F$27)</f>
        <v/>
      </c>
      <c r="C10" s="28">
        <f>IF($B$5=0,0,B10/$B$5)</f>
        <v/>
      </c>
      <c r="D10" s="34" t="inlineStr">
        <is>
          <t>亿元</t>
        </is>
      </c>
      <c r="E10" s="34" t="inlineStr">
        <is>
          <t>负债端外币 = 全部外币 − 资产端外币</t>
        </is>
      </c>
    </row>
    <row r="11">
      <c r="A11" s="24" t="inlineStr">
        <is>
          <t>所有者权益</t>
        </is>
      </c>
      <c r="B11" s="27">
        <f>'①数据源'!F27</f>
        <v/>
      </c>
      <c r="C11" s="28">
        <f>IF($B$5=0,0,B11/$B$5)</f>
        <v/>
      </c>
      <c r="D11" s="34" t="inlineStr">
        <is>
          <t>亿元</t>
        </is>
      </c>
      <c r="E11" s="34" t="inlineStr">
        <is>
          <t>不产生利息收支，仅作规模对照</t>
        </is>
      </c>
    </row>
    <row r="13">
      <c r="A13" s="36" t="inlineStr">
        <is>
          <t>【二】利息收入与利息支出</t>
        </is>
      </c>
      <c r="B13" s="37" t="n"/>
      <c r="C13" s="37" t="n"/>
      <c r="D13" s="37" t="n"/>
      <c r="E13" s="37" t="n"/>
    </row>
    <row r="14">
      <c r="A14" s="24" t="inlineStr">
        <is>
          <t>利息收入合计（年度）</t>
        </is>
      </c>
      <c r="B14" s="27">
        <f>'④利息收入明细'!G18</f>
        <v/>
      </c>
      <c r="C14" s="42" t="n"/>
      <c r="D14" s="34" t="inlineStr">
        <is>
          <t>亿元/年</t>
        </is>
      </c>
      <c r="E14" s="34" t="inlineStr">
        <is>
          <t>14 个生息资产账户</t>
        </is>
      </c>
    </row>
    <row r="15">
      <c r="A15" s="24" t="inlineStr">
        <is>
          <t>利息支出合计（年度）</t>
        </is>
      </c>
      <c r="B15" s="27">
        <f>'⑤利息支出明细'!G11</f>
        <v/>
      </c>
      <c r="C15" s="42" t="n"/>
      <c r="D15" s="34" t="inlineStr">
        <is>
          <t>亿元/年</t>
        </is>
      </c>
      <c r="E15" s="34" t="inlineStr">
        <is>
          <t>7 个计息负债账户</t>
        </is>
      </c>
    </row>
    <row r="16">
      <c r="A16" s="24" t="inlineStr">
        <is>
          <t>参照物校验：Σ月度利息 × 12（资产）</t>
        </is>
      </c>
      <c r="B16" s="27">
        <f>SUMIF('①数据源'!$C$4:$C$27,"资产",'①数据源'!$H$4:$H$27)*12</f>
        <v/>
      </c>
      <c r="C16" s="42" t="n"/>
      <c r="D16" s="34" t="inlineStr">
        <is>
          <t>亿元/年</t>
        </is>
      </c>
      <c r="E16" s="34" t="inlineStr">
        <is>
          <t>应与利息收入合计相等</t>
        </is>
      </c>
    </row>
    <row r="17">
      <c r="A17" s="24" t="inlineStr">
        <is>
          <t>参照物校验：Σ月度利息 × 12（负债）</t>
        </is>
      </c>
      <c r="B17" s="27">
        <f>SUMIF('①数据源'!$C$4:$C$27,"负债",'①数据源'!$H$4:$H$27)*12</f>
        <v/>
      </c>
      <c r="C17" s="42" t="n"/>
      <c r="D17" s="34" t="inlineStr">
        <is>
          <t>亿元/年</t>
        </is>
      </c>
      <c r="E17" s="34" t="inlineStr">
        <is>
          <t>应与利息支出合计相等</t>
        </is>
      </c>
    </row>
    <row r="19">
      <c r="A19" s="36" t="inlineStr">
        <is>
          <t>【三】净利息收入 NII（核心指标）</t>
        </is>
      </c>
      <c r="B19" s="37" t="n"/>
      <c r="C19" s="37" t="n"/>
      <c r="D19" s="37" t="n"/>
      <c r="E19" s="37" t="n"/>
    </row>
    <row r="20">
      <c r="A20" s="43" t="inlineStr">
        <is>
          <t>★ 净利息收入 NII</t>
        </is>
      </c>
      <c r="B20" s="44">
        <f>B14-B15</f>
        <v/>
      </c>
      <c r="C20" s="45" t="n"/>
      <c r="D20" s="43" t="inlineStr">
        <is>
          <t>亿元/年</t>
        </is>
      </c>
      <c r="E20" s="43" t="inlineStr">
        <is>
          <t>NII = 利息收入 − 利息支出</t>
        </is>
      </c>
    </row>
    <row r="21">
      <c r="A21" s="24" t="inlineStr">
        <is>
          <t>月度净利息收入（对照参照物 EM 口径）</t>
        </is>
      </c>
      <c r="B21" s="27">
        <f>SUMIF('①数据源'!$C$4:$C$27,"资产",'①数据源'!$H$4:$H$27)-SUMIF('①数据源'!$C$4:$C$27,"负债",'①数据源'!$H$4:$H$27)</f>
        <v/>
      </c>
      <c r="C21" s="42" t="n"/>
      <c r="D21" s="34" t="inlineStr">
        <is>
          <t>亿元/月</t>
        </is>
      </c>
      <c r="E21" s="34">
        <f> NII ÷ 12，与参照物「平均利息收支」列完全对齐</f>
        <v/>
      </c>
    </row>
    <row r="23">
      <c r="A23" s="36" t="inlineStr">
        <is>
          <t>【四】利差与净息差核心比率</t>
        </is>
      </c>
      <c r="B23" s="37" t="n"/>
      <c r="C23" s="37" t="n"/>
      <c r="D23" s="37" t="n"/>
      <c r="E23" s="37" t="n"/>
    </row>
    <row r="24">
      <c r="A24" s="24" t="inlineStr">
        <is>
          <t>生息资产收益率（利息收入 ÷ 生息资产）</t>
        </is>
      </c>
      <c r="B24" s="46">
        <f>IF($B$5=0,0,$B$14/$B$5)</f>
        <v/>
      </c>
      <c r="C24" s="42" t="n"/>
      <c r="D24" s="34" t="inlineStr">
        <is>
          <t>%</t>
        </is>
      </c>
      <c r="E24" s="34" t="inlineStr">
        <is>
          <t>资产端盈利能力</t>
        </is>
      </c>
    </row>
    <row r="25">
      <c r="A25" s="24" t="inlineStr">
        <is>
          <t>计息负债成本率（利息支出 ÷ 计息负债）</t>
        </is>
      </c>
      <c r="B25" s="46">
        <f>IF($B$7=0,0,$B$15/$B$7)</f>
        <v/>
      </c>
      <c r="C25" s="42" t="n"/>
      <c r="D25" s="34" t="inlineStr">
        <is>
          <t>%</t>
        </is>
      </c>
      <c r="E25" s="34" t="inlineStr">
        <is>
          <t>负债端付息成本</t>
        </is>
      </c>
    </row>
    <row r="26">
      <c r="A26" s="47" t="inlineStr">
        <is>
          <t>净利差 NIS（净收益率 − 净成本率）</t>
        </is>
      </c>
      <c r="B26" s="46">
        <f>B24-B25</f>
        <v/>
      </c>
      <c r="C26" s="42" t="n"/>
      <c r="D26" s="34" t="inlineStr">
        <is>
          <t>%</t>
        </is>
      </c>
      <c r="E26" s="34" t="inlineStr">
        <is>
          <t>资产端与负债端定价之差</t>
        </is>
      </c>
    </row>
    <row r="27">
      <c r="A27" s="43" t="inlineStr">
        <is>
          <t>★ 净息差 NIM（NII ÷ 生息资产）</t>
        </is>
      </c>
      <c r="B27" s="48">
        <f>IF($B$5=0,0,$B$20/$B$5)</f>
        <v/>
      </c>
      <c r="C27" s="45" t="n"/>
      <c r="D27" s="49" t="inlineStr">
        <is>
          <t>%</t>
        </is>
      </c>
      <c r="E27" s="49" t="inlineStr">
        <is>
          <t>★ NII 计量最终输出指标</t>
        </is>
      </c>
    </row>
    <row r="29">
      <c r="A29" s="36" t="inlineStr">
        <is>
          <t>【五】资产负债结构与存款成本辅助比率</t>
        </is>
      </c>
      <c r="B29" s="37" t="n"/>
      <c r="C29" s="37" t="n"/>
      <c r="D29" s="37" t="n"/>
      <c r="E29" s="37" t="n"/>
    </row>
    <row r="30">
      <c r="A30" s="24" t="inlineStr">
        <is>
          <t>信贷资产余额（贷款 5 项）</t>
        </is>
      </c>
      <c r="B30" s="27">
        <f>SUMIF('①数据源'!$E$4:$E$27,"信贷",'①数据源'!$F$4:$F$27)</f>
        <v/>
      </c>
      <c r="C30" s="42" t="n"/>
      <c r="D30" s="34" t="inlineStr">
        <is>
          <t>亿元</t>
        </is>
      </c>
      <c r="E30" s="34" t="inlineStr">
        <is>
          <t>对公 / 个人 / 信用卡 / 票据 / 非银</t>
        </is>
      </c>
    </row>
    <row r="31">
      <c r="A31" s="24" t="inlineStr">
        <is>
          <t>存款余额（活期 + 定期）</t>
        </is>
      </c>
      <c r="B31" s="27">
        <f>SUMIF('①数据源'!$E$4:$E$27,"活期",'①数据源'!$F$4:$F$27)+SUMIF('①数据源'!$E$4:$E$27,"定期",'①数据源'!$F$4:$F$27)</f>
        <v/>
      </c>
      <c r="C31" s="42" t="n"/>
      <c r="D31" s="34" t="inlineStr">
        <is>
          <t>亿元</t>
        </is>
      </c>
      <c r="E31" s="34" t="inlineStr">
        <is>
          <t>对公 + 零售</t>
        </is>
      </c>
    </row>
    <row r="32">
      <c r="A32" s="24" t="inlineStr">
        <is>
          <t>存贷比（信贷资产 ÷ 计息负债）</t>
        </is>
      </c>
      <c r="B32" s="28">
        <f>IF($B$7=0,0,$B$30/$B$7)</f>
        <v/>
      </c>
      <c r="C32" s="42" t="n"/>
      <c r="D32" s="34" t="inlineStr">
        <is>
          <t>%</t>
        </is>
      </c>
      <c r="E32" s="34" t="inlineStr">
        <is>
          <t>监管上限 100%</t>
        </is>
      </c>
    </row>
    <row r="33">
      <c r="A33" s="24" t="inlineStr">
        <is>
          <t>贷存比（信贷资产 ÷ 存款余额）</t>
        </is>
      </c>
      <c r="B33" s="28">
        <f>IF($B$31=0,0,$B$30/$B$31)</f>
        <v/>
      </c>
      <c r="C33" s="42" t="n"/>
      <c r="D33" s="34" t="inlineStr">
        <is>
          <t>%</t>
        </is>
      </c>
      <c r="E33" s="34" t="inlineStr">
        <is>
          <t>存款对贷款的覆盖程度</t>
        </is>
      </c>
    </row>
    <row r="34">
      <c r="A34" s="24" t="inlineStr">
        <is>
          <t>存款活期化率（活期 ÷ 存款合计）</t>
        </is>
      </c>
      <c r="B34" s="28">
        <f>IF($B$31=0,0,SUMIF('①数据源'!$E$4:$E$27,"活期",'①数据源'!$F$4:$F$27)/$B$31)</f>
        <v/>
      </c>
      <c r="C34" s="42" t="n"/>
      <c r="D34" s="34" t="inlineStr">
        <is>
          <t>%</t>
        </is>
      </c>
      <c r="E34" s="34" t="inlineStr">
        <is>
          <t>活期付息成本低，活期化率越高 → NIM 越高</t>
        </is>
      </c>
    </row>
    <row r="36">
      <c r="A36" s="36" t="inlineStr">
        <is>
          <t>【六】勾稽校验（校验 1~9 应全部为 0）</t>
        </is>
      </c>
      <c r="B36" s="37" t="n"/>
      <c r="C36" s="37" t="n"/>
      <c r="D36" s="37" t="n"/>
      <c r="E36" s="37" t="n"/>
    </row>
    <row r="37">
      <c r="A37" s="24" t="inlineStr">
        <is>
          <t>校验 1：④明细 = ①Σ年度利息（资产，利率&gt;0）</t>
        </is>
      </c>
      <c r="B37" s="27">
        <f>ROUND('④利息收入明细'!G18-SUMIF('①数据源'!$C$4:$C$27,"资产",'①数据源'!$I$4:$I$27),6)</f>
        <v/>
      </c>
      <c r="C37" s="42" t="n"/>
      <c r="D37" s="34" t="inlineStr">
        <is>
          <t>亿元</t>
        </is>
      </c>
      <c r="E37" s="34" t="inlineStr">
        <is>
          <t>明细 ↔ 数据源交叉勾稽</t>
        </is>
      </c>
    </row>
    <row r="38">
      <c r="A38" s="24" t="inlineStr">
        <is>
          <t>校验 2：⑤明细 = ①Σ年度利息（负债）</t>
        </is>
      </c>
      <c r="B38" s="27">
        <f>ROUND('⑤利息支出明细'!G11-SUMIF('①数据源'!$C$4:$C$27,"负债",'①数据源'!$I$4:$I$27),6)</f>
        <v/>
      </c>
      <c r="C38" s="42" t="n"/>
      <c r="D38" s="34" t="inlineStr">
        <is>
          <t>亿元</t>
        </is>
      </c>
      <c r="E38" s="34" t="inlineStr">
        <is>
          <t>明细 ↔ 数据源交叉勾稽</t>
        </is>
      </c>
    </row>
    <row r="39">
      <c r="A39" s="24" t="inlineStr">
        <is>
          <t>校验 3：①Σ全部年度利息 = 资产 + 负债</t>
        </is>
      </c>
      <c r="B39" s="27">
        <f>ROUND(SUM('①数据源'!$I$4:$I$27)-SUMIF('①数据源'!$C$4:$C$27,"资产",'①数据源'!$I$4:$I$27)-SUMIF('①数据源'!$C$4:$C$27,"负债",'①数据源'!$I$4:$I$27),6)</f>
        <v/>
      </c>
      <c r="C39" s="42" t="n"/>
      <c r="D39" s="34" t="inlineStr">
        <is>
          <t>亿元</t>
        </is>
      </c>
      <c r="E39" s="34" t="inlineStr">
        <is>
          <t>权益年度利息应为 0</t>
        </is>
      </c>
    </row>
    <row r="40">
      <c r="A40" s="24" t="inlineStr">
        <is>
          <t>校验 4：Σ月度利息 × 12 = Σ年度利息（资产）</t>
        </is>
      </c>
      <c r="B40" s="27">
        <f>ROUND(SUMIF('①数据源'!$C$4:$C$27,"资产",'①数据源'!$H$4:$H$27)*12-SUMIF('①数据源'!$C$4:$C$27,"资产",'①数据源'!$I$4:$I$27),6)</f>
        <v/>
      </c>
      <c r="C40" s="42" t="n"/>
      <c r="D40" s="34" t="inlineStr">
        <is>
          <t>亿元</t>
        </is>
      </c>
      <c r="E40" s="34" t="inlineStr">
        <is>
          <t>参照物 EM 口径</t>
        </is>
      </c>
    </row>
    <row r="41">
      <c r="A41" s="24" t="inlineStr">
        <is>
          <t>校验 5：Σ月度利息 × 12 = Σ年度利息（负债）</t>
        </is>
      </c>
      <c r="B41" s="27">
        <f>ROUND(SUMIF('①数据源'!$C$4:$C$27,"负债",'①数据源'!$H$4:$H$27)*12-SUMIF('①数据源'!$C$4:$C$27,"负债",'①数据源'!$I$4:$I$27),6)</f>
        <v/>
      </c>
      <c r="C41" s="42" t="n"/>
      <c r="D41" s="34" t="inlineStr">
        <is>
          <t>亿元</t>
        </is>
      </c>
      <c r="E41" s="34" t="inlineStr">
        <is>
          <t>参照物 EM 口径</t>
        </is>
      </c>
    </row>
    <row r="42">
      <c r="A42" s="24" t="inlineStr">
        <is>
          <t>校验 6：④利息收入占比合计 = 100%</t>
        </is>
      </c>
      <c r="B42" s="27">
        <f>ROUND('④利息收入明细'!H18-1,8)</f>
        <v/>
      </c>
      <c r="C42" s="42" t="n"/>
      <c r="D42" s="34" t="inlineStr">
        <is>
          <t>亿元</t>
        </is>
      </c>
      <c r="E42" s="34" t="inlineStr">
        <is>
          <t>占比无重复无遗漏</t>
        </is>
      </c>
    </row>
    <row r="43">
      <c r="A43" s="24" t="inlineStr">
        <is>
          <t>校验 7：⑤利息支出占比合计 = 100%</t>
        </is>
      </c>
      <c r="B43" s="27">
        <f>ROUND('⑤利息支出明细'!H11-1,8)</f>
        <v/>
      </c>
      <c r="C43" s="42" t="n"/>
      <c r="D43" s="34" t="inlineStr">
        <is>
          <t>亿元</t>
        </is>
      </c>
      <c r="E43" s="34" t="inlineStr">
        <is>
          <t>占比无重复无遗漏</t>
        </is>
      </c>
    </row>
    <row r="44">
      <c r="A44" s="24" t="inlineStr">
        <is>
          <t>校验 8：NII = 利息收入 − 利息支出（核心恒等式）</t>
        </is>
      </c>
      <c r="B44" s="27">
        <f>ROUND($B$20-($B$14-$B$15),8)</f>
        <v/>
      </c>
      <c r="C44" s="42" t="n"/>
      <c r="D44" s="34" t="inlineStr">
        <is>
          <t>亿元</t>
        </is>
      </c>
      <c r="E44" s="34" t="inlineStr">
        <is>
          <t>NII 主口径恒等式自检</t>
        </is>
      </c>
    </row>
    <row r="45">
      <c r="A45" s="24" t="inlineStr">
        <is>
          <t>校验 9：年度 NII = 月度 NII × 12</t>
        </is>
      </c>
      <c r="B45" s="27">
        <f>ROUND($B$20-$B$21*12,6)</f>
        <v/>
      </c>
      <c r="C45" s="42" t="n"/>
      <c r="D45" s="34" t="inlineStr">
        <is>
          <t>亿元</t>
        </is>
      </c>
      <c r="E45" s="34" t="inlineStr">
        <is>
          <t>年度与月度口径对齐</t>
        </is>
      </c>
    </row>
    <row r="46">
      <c r="A46" s="24" t="inlineStr">
        <is>
          <t>信息项：Σ期限分布 − Σ当前余额（差额 = 未覆盖续作本金）</t>
        </is>
      </c>
      <c r="B46" s="27">
        <f>'②期限分布'!BP28-'②期限分布'!BQ28</f>
        <v/>
      </c>
      <c r="C46" s="42" t="n"/>
      <c r="D46" s="34" t="inlineStr">
        <is>
          <t>亿元</t>
        </is>
      </c>
      <c r="E46" s="34" t="inlineStr">
        <is>
          <t>资产端覆盖 53.07%，负债端 99.98%</t>
        </is>
      </c>
    </row>
    <row r="48">
      <c r="A48" s="36" t="inlineStr">
        <is>
          <t>【七】监管参考与达标判定</t>
        </is>
      </c>
      <c r="B48" s="37" t="n"/>
      <c r="C48" s="37" t="n"/>
      <c r="D48" s="37" t="n"/>
      <c r="E48" s="37" t="n"/>
    </row>
    <row r="49">
      <c r="A49" s="24" t="inlineStr">
        <is>
          <t>商业银行 NIM 合理区间下限</t>
        </is>
      </c>
      <c r="B49" s="50" t="n">
        <v>0.015</v>
      </c>
      <c r="C49" s="42" t="n"/>
      <c r="D49" s="34" t="inlineStr">
        <is>
          <t>%</t>
        </is>
      </c>
      <c r="E49" s="34" t="inlineStr">
        <is>
          <t>监管非强制指引参考值</t>
        </is>
      </c>
    </row>
    <row r="50">
      <c r="A50" s="24" t="inlineStr">
        <is>
          <t>商业银行 NIM 合理区间上限</t>
        </is>
      </c>
      <c r="B50" s="50" t="n">
        <v>0.025</v>
      </c>
      <c r="C50" s="42" t="n"/>
      <c r="D50" s="34" t="inlineStr">
        <is>
          <t>%</t>
        </is>
      </c>
      <c r="E50" s="34" t="inlineStr">
        <is>
          <t>监管非强制指引参考值</t>
        </is>
      </c>
    </row>
    <row r="51">
      <c r="A51" s="24" t="inlineStr">
        <is>
          <t>本行 NIM 达标判定</t>
        </is>
      </c>
      <c r="B51" s="51">
        <f>IF($B$27&gt;=$B$49,"达标","不达标")</f>
        <v/>
      </c>
      <c r="C51" s="42" t="n"/>
      <c r="D51" s="34" t="inlineStr"/>
      <c r="E51" s="34" t="inlineStr">
        <is>
          <t>NIM ≥ 1.50%</t>
        </is>
      </c>
    </row>
    <row r="52">
      <c r="A52" s="24" t="inlineStr">
        <is>
          <t>本行 NIM 区间判定</t>
        </is>
      </c>
      <c r="B52" s="51">
        <f>IF(AND($B$27&gt;=$B$49,$B$27&lt;=$B$50),"位于合理区间","偏离合理区间")</f>
        <v/>
      </c>
      <c r="C52" s="42" t="n"/>
      <c r="D52" s="34" t="inlineStr"/>
      <c r="E52" s="34" t="inlineStr">
        <is>
          <t>1.50% ≤ NIM ≤ 2.50%</t>
        </is>
      </c>
    </row>
    <row r="53">
      <c r="A53" s="24" t="inlineStr">
        <is>
          <t>本行存贷比达标判定</t>
        </is>
      </c>
      <c r="B53" s="51">
        <f>IF($B$32&lt;=1,"达标","超标")</f>
        <v/>
      </c>
      <c r="C53" s="42" t="n"/>
      <c r="D53" s="34" t="inlineStr"/>
      <c r="E53" s="34" t="inlineStr">
        <is>
          <t>存贷比 ≤ 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5" customWidth="1" min="5" max="5"/>
    <col width="14" customWidth="1" min="6" max="6"/>
    <col width="12" customWidth="1" min="7" max="7"/>
    <col width="42" customWidth="1" min="8" max="8"/>
  </cols>
  <sheetData>
    <row r="1">
      <c r="A1" s="1" t="inlineStr">
        <is>
          <t>⑦ 剩余期限结构与重定价缺口分析</t>
        </is>
      </c>
    </row>
    <row r="2">
      <c r="A2" s="2" t="inlineStr">
        <is>
          <t>A_β / L_β = Σ(余额 × β)，β 由「②期限分布」1 年内（12 桶）到期占比推导  |  ΔNII = −Δr × (A_β − L_β)</t>
        </is>
      </c>
    </row>
    <row r="4">
      <c r="A4" s="36" t="inlineStr">
        <is>
          <t>【一】账户重定价属性明细（24 个末级账户）</t>
        </is>
      </c>
      <c r="B4" s="37" t="n"/>
      <c r="C4" s="37" t="n"/>
      <c r="D4" s="37" t="n"/>
      <c r="E4" s="37" t="n"/>
      <c r="F4" s="37" t="n"/>
      <c r="G4" s="37" t="n"/>
      <c r="H4" s="37" t="n"/>
    </row>
    <row r="5" ht="34" customHeight="1">
      <c r="A5" s="3" t="inlineStr">
        <is>
          <t>账户名称</t>
        </is>
      </c>
      <c r="B5" s="3" t="inlineStr">
        <is>
          <t>方向</t>
        </is>
      </c>
      <c r="C5" s="3" t="inlineStr">
        <is>
          <t>当前余额
(亿元)</t>
        </is>
      </c>
      <c r="D5" s="3" t="inlineStr">
        <is>
          <t>重定价β</t>
        </is>
      </c>
      <c r="E5" s="3" t="inlineStr">
        <is>
          <t>重定价敞口
(亿元)</t>
        </is>
      </c>
      <c r="F5" s="3" t="inlineStr">
        <is>
          <t>1年内到期
(亿元)</t>
        </is>
      </c>
      <c r="G5" s="3" t="inlineStr">
        <is>
          <t>到期占比</t>
        </is>
      </c>
      <c r="H5" s="3" t="inlineStr">
        <is>
          <t>到期 / 非到期结构说明</t>
        </is>
      </c>
    </row>
    <row r="6">
      <c r="A6" s="4">
        <f>'①数据源'!B4</f>
        <v/>
      </c>
      <c r="B6" s="4">
        <f>'①数据源'!C4</f>
        <v/>
      </c>
      <c r="C6" s="7">
        <f>'①数据源'!F4</f>
        <v/>
      </c>
      <c r="D6" s="52">
        <f>'①数据源'!L4</f>
        <v/>
      </c>
      <c r="E6" s="7">
        <f>C6*D6</f>
        <v/>
      </c>
      <c r="F6" s="7">
        <f>'①数据源'!J4</f>
        <v/>
      </c>
      <c r="G6" s="8">
        <f>IF(C6=0,0,F6/C6)</f>
        <v/>
      </c>
      <c r="H6" s="11" t="inlineStr">
        <is>
          <t>16 桶等额分期，1 年内到期约 1/4，重定价滞后于负债端</t>
        </is>
      </c>
    </row>
    <row r="7">
      <c r="A7" s="4">
        <f>'①数据源'!B5</f>
        <v/>
      </c>
      <c r="B7" s="4">
        <f>'①数据源'!C5</f>
        <v/>
      </c>
      <c r="C7" s="7">
        <f>'①数据源'!F5</f>
        <v/>
      </c>
      <c r="D7" s="52">
        <f>'①数据源'!L5</f>
        <v/>
      </c>
      <c r="E7" s="7">
        <f>C7*D7</f>
        <v/>
      </c>
      <c r="F7" s="7">
        <f>'①数据源'!J5</f>
        <v/>
      </c>
      <c r="G7" s="8">
        <f>IF(C7=0,0,F7/C7)</f>
        <v/>
      </c>
      <c r="H7" s="11" t="inlineStr">
        <is>
          <t>16 桶等额分期，1 年内到期约 1/4，重定价滞后于负债端</t>
        </is>
      </c>
    </row>
    <row r="8">
      <c r="A8" s="4">
        <f>'①数据源'!B6</f>
        <v/>
      </c>
      <c r="B8" s="4">
        <f>'①数据源'!C6</f>
        <v/>
      </c>
      <c r="C8" s="7">
        <f>'①数据源'!F6</f>
        <v/>
      </c>
      <c r="D8" s="52">
        <f>'①数据源'!L6</f>
        <v/>
      </c>
      <c r="E8" s="7">
        <f>C8*D8</f>
        <v/>
      </c>
      <c r="F8" s="7">
        <f>'①数据源'!J6</f>
        <v/>
      </c>
      <c r="G8" s="8">
        <f>IF(C8=0,0,F8/C8)</f>
        <v/>
      </c>
      <c r="H8" s="11" t="inlineStr">
        <is>
          <t>16 桶等额分期，1 年内到期约 1/4，重定价滞后于负债端</t>
        </is>
      </c>
    </row>
    <row r="9">
      <c r="A9" s="4">
        <f>'①数据源'!B7</f>
        <v/>
      </c>
      <c r="B9" s="4">
        <f>'①数据源'!C7</f>
        <v/>
      </c>
      <c r="C9" s="7">
        <f>'①数据源'!F7</f>
        <v/>
      </c>
      <c r="D9" s="52">
        <f>'①数据源'!L7</f>
        <v/>
      </c>
      <c r="E9" s="7">
        <f>C9*D9</f>
        <v/>
      </c>
      <c r="F9" s="7">
        <f>'①数据源'!J7</f>
        <v/>
      </c>
      <c r="G9" s="8">
        <f>IF(C9=0,0,F9/C9)</f>
        <v/>
      </c>
      <c r="H9" s="11" t="inlineStr">
        <is>
          <t>16 桶等额分期，1 年内到期约 1/4，重定价滞后于负债端</t>
        </is>
      </c>
    </row>
    <row r="10">
      <c r="A10" s="4">
        <f>'①数据源'!B8</f>
        <v/>
      </c>
      <c r="B10" s="4">
        <f>'①数据源'!C8</f>
        <v/>
      </c>
      <c r="C10" s="7">
        <f>'①数据源'!F8</f>
        <v/>
      </c>
      <c r="D10" s="52">
        <f>'①数据源'!L8</f>
        <v/>
      </c>
      <c r="E10" s="7">
        <f>C10*D10</f>
        <v/>
      </c>
      <c r="F10" s="7">
        <f>'①数据源'!J8</f>
        <v/>
      </c>
      <c r="G10" s="8">
        <f>IF(C10=0,0,F10/C10)</f>
        <v/>
      </c>
      <c r="H10" s="11" t="inlineStr">
        <is>
          <t>16 桶等额分期，1 年内到期约 1/4，重定价滞后于负债端</t>
        </is>
      </c>
    </row>
    <row r="11">
      <c r="A11" s="4">
        <f>'①数据源'!B9</f>
        <v/>
      </c>
      <c r="B11" s="4">
        <f>'①数据源'!C9</f>
        <v/>
      </c>
      <c r="C11" s="7">
        <f>'①数据源'!F9</f>
        <v/>
      </c>
      <c r="D11" s="52">
        <f>'①数据源'!L9</f>
        <v/>
      </c>
      <c r="E11" s="7">
        <f>C11*D11</f>
        <v/>
      </c>
      <c r="F11" s="7">
        <f>'①数据源'!J9</f>
        <v/>
      </c>
      <c r="G11" s="8">
        <f>IF(C11=0,0,F11/C11)</f>
        <v/>
      </c>
      <c r="H11" s="11" t="inlineStr">
        <is>
          <t>16 桶分期；到期后按市价重定价，久期较长</t>
        </is>
      </c>
    </row>
    <row r="12">
      <c r="A12" s="4">
        <f>'①数据源'!B10</f>
        <v/>
      </c>
      <c r="B12" s="4">
        <f>'①数据源'!C10</f>
        <v/>
      </c>
      <c r="C12" s="7">
        <f>'①数据源'!F10</f>
        <v/>
      </c>
      <c r="D12" s="52">
        <f>'①数据源'!L10</f>
        <v/>
      </c>
      <c r="E12" s="7">
        <f>C12*D12</f>
        <v/>
      </c>
      <c r="F12" s="7">
        <f>'①数据源'!J10</f>
        <v/>
      </c>
      <c r="G12" s="8">
        <f>IF(C12=0,0,F12/C12)</f>
        <v/>
      </c>
      <c r="H12" s="11" t="inlineStr">
        <is>
          <t>16 桶分期；到期后按市价重定价，久期较长</t>
        </is>
      </c>
    </row>
    <row r="13">
      <c r="A13" s="4">
        <f>'①数据源'!B11</f>
        <v/>
      </c>
      <c r="B13" s="4">
        <f>'①数据源'!C11</f>
        <v/>
      </c>
      <c r="C13" s="7">
        <f>'①数据源'!F11</f>
        <v/>
      </c>
      <c r="D13" s="52">
        <f>'①数据源'!L11</f>
        <v/>
      </c>
      <c r="E13" s="7">
        <f>C13*D13</f>
        <v/>
      </c>
      <c r="F13" s="7">
        <f>'①数据源'!J11</f>
        <v/>
      </c>
      <c r="G13" s="8">
        <f>IF(C13=0,0,F13/C13)</f>
        <v/>
      </c>
      <c r="H13" s="11" t="inlineStr">
        <is>
          <t>同业 / 准备金 / 结构化融资，货币市场驱动，β 较高</t>
        </is>
      </c>
    </row>
    <row r="14">
      <c r="A14" s="4">
        <f>'①数据源'!B12</f>
        <v/>
      </c>
      <c r="B14" s="4">
        <f>'①数据源'!C12</f>
        <v/>
      </c>
      <c r="C14" s="7">
        <f>'①数据源'!F12</f>
        <v/>
      </c>
      <c r="D14" s="52">
        <f>'①数据源'!L12</f>
        <v/>
      </c>
      <c r="E14" s="7">
        <f>C14*D14</f>
        <v/>
      </c>
      <c r="F14" s="7">
        <f>'①数据源'!J12</f>
        <v/>
      </c>
      <c r="G14" s="8">
        <f>IF(C14=0,0,F14/C14)</f>
        <v/>
      </c>
      <c r="H14" s="11" t="inlineStr">
        <is>
          <t>同业 / 准备金 / 结构化融资，货币市场驱动，β 较高</t>
        </is>
      </c>
    </row>
    <row r="15">
      <c r="A15" s="4">
        <f>'①数据源'!B13</f>
        <v/>
      </c>
      <c r="B15" s="4">
        <f>'①数据源'!C13</f>
        <v/>
      </c>
      <c r="C15" s="7">
        <f>'①数据源'!F13</f>
        <v/>
      </c>
      <c r="D15" s="52">
        <f>'①数据源'!L13</f>
        <v/>
      </c>
      <c r="E15" s="7">
        <f>C15*D15</f>
        <v/>
      </c>
      <c r="F15" s="7">
        <f>'①数据源'!J13</f>
        <v/>
      </c>
      <c r="G15" s="8">
        <f>IF(C15=0,0,F15/C15)</f>
        <v/>
      </c>
      <c r="H15" s="11" t="inlineStr">
        <is>
          <t>同业 / 准备金 / 结构化融资，货币市场驱动，β 较高</t>
        </is>
      </c>
    </row>
    <row r="16">
      <c r="A16" s="4">
        <f>'①数据源'!B14</f>
        <v/>
      </c>
      <c r="B16" s="4">
        <f>'①数据源'!C14</f>
        <v/>
      </c>
      <c r="C16" s="7">
        <f>'①数据源'!F14</f>
        <v/>
      </c>
      <c r="D16" s="52">
        <f>'①数据源'!L14</f>
        <v/>
      </c>
      <c r="E16" s="7">
        <f>C16*D16</f>
        <v/>
      </c>
      <c r="F16" s="7">
        <f>'①数据源'!J14</f>
        <v/>
      </c>
      <c r="G16" s="8">
        <f>IF(C16=0,0,F16/C16)</f>
        <v/>
      </c>
      <c r="H16" s="11" t="inlineStr">
        <is>
          <t>利率 0%，无重定价敞口</t>
        </is>
      </c>
    </row>
    <row r="17">
      <c r="A17" s="4">
        <f>'①数据源'!B15</f>
        <v/>
      </c>
      <c r="B17" s="4">
        <f>'①数据源'!C15</f>
        <v/>
      </c>
      <c r="C17" s="7">
        <f>'①数据源'!F15</f>
        <v/>
      </c>
      <c r="D17" s="52">
        <f>'①数据源'!L15</f>
        <v/>
      </c>
      <c r="E17" s="7">
        <f>C17*D17</f>
        <v/>
      </c>
      <c r="F17" s="7">
        <f>'①数据源'!J15</f>
        <v/>
      </c>
      <c r="G17" s="8">
        <f>IF(C17=0,0,F17/C17)</f>
        <v/>
      </c>
      <c r="H17" s="11" t="inlineStr">
        <is>
          <t>利率 0%，无重定价敞口</t>
        </is>
      </c>
    </row>
    <row r="18">
      <c r="A18" s="4">
        <f>'①数据源'!B16</f>
        <v/>
      </c>
      <c r="B18" s="4">
        <f>'①数据源'!C16</f>
        <v/>
      </c>
      <c r="C18" s="7">
        <f>'①数据源'!F16</f>
        <v/>
      </c>
      <c r="D18" s="52">
        <f>'①数据源'!L16</f>
        <v/>
      </c>
      <c r="E18" s="7">
        <f>C18*D18</f>
        <v/>
      </c>
      <c r="F18" s="7">
        <f>'①数据源'!J16</f>
        <v/>
      </c>
      <c r="G18" s="8">
        <f>IF(C18=0,0,F18/C18)</f>
        <v/>
      </c>
      <c r="H18" s="11" t="inlineStr">
        <is>
          <t>折人民币计价，境内利率 + 汇率双重影响</t>
        </is>
      </c>
    </row>
    <row r="19">
      <c r="A19" s="4">
        <f>'①数据源'!B17</f>
        <v/>
      </c>
      <c r="B19" s="4">
        <f>'①数据源'!C17</f>
        <v/>
      </c>
      <c r="C19" s="7">
        <f>'①数据源'!F17</f>
        <v/>
      </c>
      <c r="D19" s="52">
        <f>'①数据源'!L17</f>
        <v/>
      </c>
      <c r="E19" s="7">
        <f>C19*D19</f>
        <v/>
      </c>
      <c r="F19" s="7">
        <f>'①数据源'!J17</f>
        <v/>
      </c>
      <c r="G19" s="8">
        <f>IF(C19=0,0,F19/C19)</f>
        <v/>
      </c>
      <c r="H19" s="11" t="inlineStr">
        <is>
          <t>折人民币计价，境内利率 + 汇率双重影响</t>
        </is>
      </c>
    </row>
    <row r="20">
      <c r="A20" s="4">
        <f>'①数据源'!B18</f>
        <v/>
      </c>
      <c r="B20" s="4">
        <f>'①数据源'!C18</f>
        <v/>
      </c>
      <c r="C20" s="7">
        <f>'①数据源'!F18</f>
        <v/>
      </c>
      <c r="D20" s="52">
        <f>'①数据源'!L18</f>
        <v/>
      </c>
      <c r="E20" s="7">
        <f>C20*D20</f>
        <v/>
      </c>
      <c r="F20" s="7">
        <f>'①数据源'!J18</f>
        <v/>
      </c>
      <c r="G20" s="8">
        <f>IF(C20=0,0,F20/C20)</f>
        <v/>
      </c>
      <c r="H20" s="11" t="inlineStr">
        <is>
          <t>同业 / 准备金 / 结构化融资，货币市场驱动，β 较高</t>
        </is>
      </c>
    </row>
    <row r="21">
      <c r="A21" s="4">
        <f>'①数据源'!B19</f>
        <v/>
      </c>
      <c r="B21" s="4">
        <f>'①数据源'!C19</f>
        <v/>
      </c>
      <c r="C21" s="7">
        <f>'①数据源'!F19</f>
        <v/>
      </c>
      <c r="D21" s="52">
        <f>'①数据源'!L19</f>
        <v/>
      </c>
      <c r="E21" s="7">
        <f>C21*D21</f>
        <v/>
      </c>
      <c r="F21" s="7">
        <f>'①数据源'!J19</f>
        <v/>
      </c>
      <c r="G21" s="8">
        <f>IF(C21=0,0,F21/C21)</f>
        <v/>
      </c>
      <c r="H21" s="11" t="inlineStr">
        <is>
          <t>折人民币计价，境内利率 + 汇率双重影响</t>
        </is>
      </c>
    </row>
    <row r="22">
      <c r="A22" s="12">
        <f>'①数据源'!B20</f>
        <v/>
      </c>
      <c r="B22" s="12">
        <f>'①数据源'!C20</f>
        <v/>
      </c>
      <c r="C22" s="13">
        <f>'①数据源'!F20</f>
        <v/>
      </c>
      <c r="D22" s="53">
        <f>'①数据源'!L20</f>
        <v/>
      </c>
      <c r="E22" s="13">
        <f>C22*D22</f>
        <v/>
      </c>
      <c r="F22" s="13">
        <f>'①数据源'!J20</f>
        <v/>
      </c>
      <c r="G22" s="14">
        <f>IF(C22=0,0,F22/C22)</f>
        <v/>
      </c>
      <c r="H22" s="16" t="inlineStr">
        <is>
          <t>3 桶（3 个月内）结构，1 年内基本全部到期，β = 1</t>
        </is>
      </c>
    </row>
    <row r="23">
      <c r="A23" s="12">
        <f>'①数据源'!B21</f>
        <v/>
      </c>
      <c r="B23" s="12">
        <f>'①数据源'!C21</f>
        <v/>
      </c>
      <c r="C23" s="13">
        <f>'①数据源'!F21</f>
        <v/>
      </c>
      <c r="D23" s="53">
        <f>'①数据源'!L21</f>
        <v/>
      </c>
      <c r="E23" s="13">
        <f>C23*D23</f>
        <v/>
      </c>
      <c r="F23" s="13">
        <f>'①数据源'!J21</f>
        <v/>
      </c>
      <c r="G23" s="14">
        <f>IF(C23=0,0,F23/C23)</f>
        <v/>
      </c>
      <c r="H23" s="16" t="inlineStr">
        <is>
          <t>12 桶（12 个月内）结构，到期可续作定价</t>
        </is>
      </c>
    </row>
    <row r="24">
      <c r="A24" s="12">
        <f>'①数据源'!B22</f>
        <v/>
      </c>
      <c r="B24" s="12">
        <f>'①数据源'!C22</f>
        <v/>
      </c>
      <c r="C24" s="13">
        <f>'①数据源'!F22</f>
        <v/>
      </c>
      <c r="D24" s="53">
        <f>'①数据源'!L22</f>
        <v/>
      </c>
      <c r="E24" s="13">
        <f>C24*D24</f>
        <v/>
      </c>
      <c r="F24" s="13">
        <f>'①数据源'!J22</f>
        <v/>
      </c>
      <c r="G24" s="14">
        <f>IF(C24=0,0,F24/C24)</f>
        <v/>
      </c>
      <c r="H24" s="16" t="inlineStr">
        <is>
          <t>3 桶（3 个月内）结构，1 年内基本全部到期，β = 1</t>
        </is>
      </c>
    </row>
    <row r="25">
      <c r="A25" s="12">
        <f>'①数据源'!B23</f>
        <v/>
      </c>
      <c r="B25" s="12">
        <f>'①数据源'!C23</f>
        <v/>
      </c>
      <c r="C25" s="13">
        <f>'①数据源'!F23</f>
        <v/>
      </c>
      <c r="D25" s="53">
        <f>'①数据源'!L23</f>
        <v/>
      </c>
      <c r="E25" s="13">
        <f>C25*D25</f>
        <v/>
      </c>
      <c r="F25" s="13">
        <f>'①数据源'!J23</f>
        <v/>
      </c>
      <c r="G25" s="14">
        <f>IF(C25=0,0,F25/C25)</f>
        <v/>
      </c>
      <c r="H25" s="16" t="inlineStr">
        <is>
          <t>12 桶（12 个月内）结构，到期可续作定价</t>
        </is>
      </c>
    </row>
    <row r="26">
      <c r="A26" s="12">
        <f>'①数据源'!B24</f>
        <v/>
      </c>
      <c r="B26" s="12">
        <f>'①数据源'!C24</f>
        <v/>
      </c>
      <c r="C26" s="13">
        <f>'①数据源'!F24</f>
        <v/>
      </c>
      <c r="D26" s="53">
        <f>'①数据源'!L24</f>
        <v/>
      </c>
      <c r="E26" s="13">
        <f>C26*D26</f>
        <v/>
      </c>
      <c r="F26" s="13">
        <f>'①数据源'!J24</f>
        <v/>
      </c>
      <c r="G26" s="14">
        <f>IF(C26=0,0,F26/C26)</f>
        <v/>
      </c>
      <c r="H26" s="16" t="inlineStr">
        <is>
          <t>12 桶货币市场工具，β 接近 1</t>
        </is>
      </c>
    </row>
    <row r="27">
      <c r="A27" s="12">
        <f>'①数据源'!B25</f>
        <v/>
      </c>
      <c r="B27" s="12">
        <f>'①数据源'!C25</f>
        <v/>
      </c>
      <c r="C27" s="13">
        <f>'①数据源'!F25</f>
        <v/>
      </c>
      <c r="D27" s="53">
        <f>'①数据源'!L25</f>
        <v/>
      </c>
      <c r="E27" s="13">
        <f>C27*D27</f>
        <v/>
      </c>
      <c r="F27" s="13">
        <f>'①数据源'!J25</f>
        <v/>
      </c>
      <c r="G27" s="14">
        <f>IF(C27=0,0,F27/C27)</f>
        <v/>
      </c>
      <c r="H27" s="16" t="inlineStr">
        <is>
          <t>折人民币负债，境内外利差影响</t>
        </is>
      </c>
    </row>
    <row r="28">
      <c r="A28" s="12">
        <f>'①数据源'!B26</f>
        <v/>
      </c>
      <c r="B28" s="12">
        <f>'①数据源'!C26</f>
        <v/>
      </c>
      <c r="C28" s="13">
        <f>'①数据源'!F26</f>
        <v/>
      </c>
      <c r="D28" s="53">
        <f>'①数据源'!L26</f>
        <v/>
      </c>
      <c r="E28" s="13">
        <f>C28*D28</f>
        <v/>
      </c>
      <c r="F28" s="13">
        <f>'①数据源'!J26</f>
        <v/>
      </c>
      <c r="G28" s="14">
        <f>IF(C28=0,0,F28/C28)</f>
        <v/>
      </c>
      <c r="H28" s="16" t="inlineStr">
        <is>
          <t>折人民币负债，境内外利差影响</t>
        </is>
      </c>
    </row>
    <row r="29">
      <c r="A29" s="54">
        <f>'①数据源'!B27</f>
        <v/>
      </c>
      <c r="B29" s="54">
        <f>'①数据源'!C27</f>
        <v/>
      </c>
      <c r="C29" s="55">
        <f>'①数据源'!F27</f>
        <v/>
      </c>
      <c r="D29" s="56">
        <f>'①数据源'!L27</f>
        <v/>
      </c>
      <c r="E29" s="55">
        <f>C29*D29</f>
        <v/>
      </c>
      <c r="F29" s="55">
        <f>'①数据源'!J27</f>
        <v/>
      </c>
      <c r="G29" s="57">
        <f>IF(C29=0,0,F29/C29)</f>
        <v/>
      </c>
      <c r="H29" s="22" t="inlineStr">
        <is>
          <t>无利息，不参与 NII</t>
        </is>
      </c>
    </row>
    <row r="30">
      <c r="A30" s="18" t="inlineStr">
        <is>
          <t>资产重定价敞口 A_β 合计</t>
        </is>
      </c>
      <c r="B30" s="17" t="n"/>
      <c r="C30" s="19">
        <f>SUMIF($B$6:$B$29,"资产",$C$6:$C$29)</f>
        <v/>
      </c>
      <c r="D30" s="58">
        <f>IF(C30=0,0,E30/C30)</f>
        <v/>
      </c>
      <c r="E30" s="19">
        <f>SUMIF($B$6:$B$29,"资产",$E$6:$E$29)</f>
        <v/>
      </c>
      <c r="F30" s="19">
        <f>SUMIF($B$6:$B$29,"资产",$F$6:$F$29)</f>
        <v/>
      </c>
      <c r="G30" s="21">
        <f>IF(C30=0,0,F30/C30)</f>
        <v/>
      </c>
      <c r="H30" s="22" t="inlineStr">
        <is>
          <t>D 列 = 组合加权平均 β</t>
        </is>
      </c>
    </row>
    <row r="31">
      <c r="A31" s="18" t="inlineStr">
        <is>
          <t>负债重定价敞口 L_β 合计</t>
        </is>
      </c>
      <c r="B31" s="17" t="n"/>
      <c r="C31" s="19">
        <f>SUMIF($B$6:$B$29,"负债",$C$6:$C$29)</f>
        <v/>
      </c>
      <c r="D31" s="58">
        <f>IF(C31=0,0,E31/C31)</f>
        <v/>
      </c>
      <c r="E31" s="19">
        <f>SUMIF($B$6:$B$29,"负债",$E$6:$E$29)</f>
        <v/>
      </c>
      <c r="F31" s="19">
        <f>SUMIF($B$6:$B$29,"负债",$F$6:$F$29)</f>
        <v/>
      </c>
      <c r="G31" s="21">
        <f>IF(C31=0,0,F31/C31)</f>
        <v/>
      </c>
      <c r="H31" s="22" t="inlineStr">
        <is>
          <t>D 列 = 组合加权平均 β</t>
        </is>
      </c>
    </row>
    <row r="32">
      <c r="A32" s="43" t="inlineStr">
        <is>
          <t>★ 重定价缺口 RG = A_β − L_β</t>
        </is>
      </c>
      <c r="B32" s="45" t="n"/>
      <c r="C32" s="45" t="n"/>
      <c r="D32" s="45" t="n"/>
      <c r="E32" s="44">
        <f>E30-E31</f>
        <v/>
      </c>
      <c r="F32" s="45" t="n"/>
      <c r="G32" s="45" t="n"/>
      <c r="H32" s="43" t="inlineStr">
        <is>
          <t>★ RG &gt; 0 → 利率上行时 NII 受损；RG &lt; 0 → 利率上行时 NII 受益</t>
        </is>
      </c>
    </row>
    <row r="33">
      <c r="A33" s="24" t="inlineStr">
        <is>
          <t>利率每平行上移 10bp 对 NII 的影响</t>
        </is>
      </c>
      <c r="B33" s="42" t="n"/>
      <c r="C33" s="42" t="n"/>
      <c r="D33" s="42" t="n"/>
      <c r="E33" s="27">
        <f>-E32*0.001</f>
        <v/>
      </c>
      <c r="F33" s="42" t="n"/>
      <c r="G33" s="42" t="n"/>
      <c r="H33" s="34">
        <f> −RG × 0.001（亿元/年 / 10bp）</f>
        <v/>
      </c>
    </row>
    <row r="34">
      <c r="A34" s="24" t="inlineStr">
        <is>
          <t>NII 利率弹性（−RG ÷ 生息资产）</t>
        </is>
      </c>
      <c r="B34" s="42" t="n"/>
      <c r="C34" s="42" t="n"/>
      <c r="D34" s="42" t="n"/>
      <c r="E34" s="46">
        <f>IF('⑥NII计量表'!B5=0,0,-E32/'⑥NII计量表'!B5)</f>
        <v/>
      </c>
      <c r="F34" s="42" t="n"/>
      <c r="G34" s="42" t="n"/>
      <c r="H34" s="34" t="inlineStr">
        <is>
          <t>ΔNII/NII ÷ Δr</t>
        </is>
      </c>
    </row>
    <row r="36">
      <c r="A36" s="36" t="inlineStr">
        <is>
          <t>【二】按业务条线的期限与重定价结构</t>
        </is>
      </c>
      <c r="B36" s="37" t="n"/>
      <c r="C36" s="37" t="n"/>
      <c r="D36" s="37" t="n"/>
      <c r="E36" s="37" t="n"/>
      <c r="F36" s="37" t="n"/>
      <c r="G36" s="37" t="n"/>
      <c r="H36" s="37" t="n"/>
    </row>
    <row r="37" ht="34" customHeight="1">
      <c r="A37" s="3" t="inlineStr">
        <is>
          <t>业务条线</t>
        </is>
      </c>
      <c r="B37" s="3" t="inlineStr">
        <is>
          <t>方向</t>
        </is>
      </c>
      <c r="C37" s="3" t="inlineStr">
        <is>
          <t>当前余额
(亿元)</t>
        </is>
      </c>
      <c r="D37" s="3" t="inlineStr">
        <is>
          <t>组合 β</t>
        </is>
      </c>
      <c r="E37" s="3" t="inlineStr">
        <is>
          <t>重定价敞口
(亿元)</t>
        </is>
      </c>
      <c r="F37" s="3" t="inlineStr">
        <is>
          <t>1年内到期
(亿元)</t>
        </is>
      </c>
      <c r="G37" s="3" t="inlineStr">
        <is>
          <t>到期占比</t>
        </is>
      </c>
      <c r="H37" s="3" t="inlineStr">
        <is>
          <t>说明</t>
        </is>
      </c>
    </row>
    <row r="38">
      <c r="A38" s="4" t="inlineStr">
        <is>
          <t>信贷资产</t>
        </is>
      </c>
      <c r="B38" s="4" t="inlineStr">
        <is>
          <t>资产</t>
        </is>
      </c>
      <c r="C38" s="7">
        <f>SUMIF($A$6:$A$29,$A38,$C$6:$C$29)</f>
        <v/>
      </c>
      <c r="D38" s="52">
        <f>IF(C38=0,0,E38/C38)</f>
        <v/>
      </c>
      <c r="E38" s="7">
        <f>SUMIF($A$6:$A$29,$A38,$E$6:$E$29)</f>
        <v/>
      </c>
      <c r="F38" s="7">
        <f>SUMIF($A$6:$A$29,$A38,$F$6:$F$29)</f>
        <v/>
      </c>
      <c r="G38" s="8">
        <f>IF(C38=0,0,F38/C38)</f>
        <v/>
      </c>
      <c r="H38" s="11" t="inlineStr">
        <is>
          <t>16 桶等额分期，1 年内到期约 1/4，重定价滞后于负债端</t>
        </is>
      </c>
    </row>
    <row r="39">
      <c r="A39" s="4" t="inlineStr">
        <is>
          <t>债券投资</t>
        </is>
      </c>
      <c r="B39" s="4" t="inlineStr">
        <is>
          <t>资产</t>
        </is>
      </c>
      <c r="C39" s="7">
        <f>SUMIF($A$6:$A$29,$A39,$C$6:$C$29)</f>
        <v/>
      </c>
      <c r="D39" s="52">
        <f>IF(C39=0,0,E39/C39)</f>
        <v/>
      </c>
      <c r="E39" s="7">
        <f>SUMIF($A$6:$A$29,$A39,$E$6:$E$29)</f>
        <v/>
      </c>
      <c r="F39" s="7">
        <f>SUMIF($A$6:$A$29,$A39,$F$6:$F$29)</f>
        <v/>
      </c>
      <c r="G39" s="8">
        <f>IF(C39=0,0,F39/C39)</f>
        <v/>
      </c>
      <c r="H39" s="11" t="inlineStr">
        <is>
          <t>16 桶分期；到期后按市价重定价，久期较长</t>
        </is>
      </c>
    </row>
    <row r="40">
      <c r="A40" s="4" t="inlineStr">
        <is>
          <t>金融市场</t>
        </is>
      </c>
      <c r="B40" s="4" t="inlineStr">
        <is>
          <t>资产</t>
        </is>
      </c>
      <c r="C40" s="7">
        <f>SUMIF($A$6:$A$29,$A40,$C$6:$C$29)</f>
        <v/>
      </c>
      <c r="D40" s="52">
        <f>IF(C40=0,0,E40/C40)</f>
        <v/>
      </c>
      <c r="E40" s="7">
        <f>SUMIF($A$6:$A$29,$A40,$E$6:$E$29)</f>
        <v/>
      </c>
      <c r="F40" s="7">
        <f>SUMIF($A$6:$A$29,$A40,$F$6:$F$29)</f>
        <v/>
      </c>
      <c r="G40" s="8">
        <f>IF(C40=0,0,F40/C40)</f>
        <v/>
      </c>
      <c r="H40" s="11" t="inlineStr">
        <is>
          <t>同业 / 准备金 / 结构化融资，货币市场驱动，β 较高</t>
        </is>
      </c>
    </row>
    <row r="41">
      <c r="A41" s="4" t="inlineStr">
        <is>
          <t>非生息资产</t>
        </is>
      </c>
      <c r="B41" s="4" t="inlineStr">
        <is>
          <t>资产</t>
        </is>
      </c>
      <c r="C41" s="7">
        <f>SUMIF($A$6:$A$29,$A41,$C$6:$C$29)</f>
        <v/>
      </c>
      <c r="D41" s="52">
        <f>IF(C41=0,0,E41/C41)</f>
        <v/>
      </c>
      <c r="E41" s="7">
        <f>SUMIF($A$6:$A$29,$A41,$E$6:$E$29)</f>
        <v/>
      </c>
      <c r="F41" s="7">
        <f>SUMIF($A$6:$A$29,$A41,$F$6:$F$29)</f>
        <v/>
      </c>
      <c r="G41" s="8">
        <f>IF(C41=0,0,F41/C41)</f>
        <v/>
      </c>
      <c r="H41" s="11" t="inlineStr">
        <is>
          <t>利率 0%，无重定价敞口</t>
        </is>
      </c>
    </row>
    <row r="42">
      <c r="A42" s="4" t="inlineStr">
        <is>
          <t>外币资产</t>
        </is>
      </c>
      <c r="B42" s="4" t="inlineStr">
        <is>
          <t>资产</t>
        </is>
      </c>
      <c r="C42" s="7">
        <f>SUMIF($A$6:$A$29,$A42,$C$6:$C$29)</f>
        <v/>
      </c>
      <c r="D42" s="52">
        <f>IF(C42=0,0,E42/C42)</f>
        <v/>
      </c>
      <c r="E42" s="7">
        <f>SUMIF($A$6:$A$29,$A42,$E$6:$E$29)</f>
        <v/>
      </c>
      <c r="F42" s="7">
        <f>SUMIF($A$6:$A$29,$A42,$F$6:$F$29)</f>
        <v/>
      </c>
      <c r="G42" s="8">
        <f>IF(C42=0,0,F42/C42)</f>
        <v/>
      </c>
      <c r="H42" s="11" t="inlineStr">
        <is>
          <t>折人民币计价，境内利率 + 汇率双重影响</t>
        </is>
      </c>
    </row>
    <row r="43">
      <c r="A43" s="12" t="inlineStr">
        <is>
          <t>活期存款</t>
        </is>
      </c>
      <c r="B43" s="12" t="inlineStr">
        <is>
          <t>负债</t>
        </is>
      </c>
      <c r="C43" s="13">
        <f>SUMIF($A$6:$A$29,$A43,$C$6:$C$29)</f>
        <v/>
      </c>
      <c r="D43" s="53">
        <f>IF(C43=0,0,E43/C43)</f>
        <v/>
      </c>
      <c r="E43" s="13">
        <f>SUMIF($A$6:$A$29,$A43,$E$6:$E$29)</f>
        <v/>
      </c>
      <c r="F43" s="13">
        <f>SUMIF($A$6:$A$29,$A43,$F$6:$F$29)</f>
        <v/>
      </c>
      <c r="G43" s="14">
        <f>IF(C43=0,0,F43/C43)</f>
        <v/>
      </c>
      <c r="H43" s="16" t="inlineStr">
        <is>
          <t>3 桶（3 个月内）结构，1 年内基本全部到期，β = 1</t>
        </is>
      </c>
    </row>
    <row r="44">
      <c r="A44" s="12" t="inlineStr">
        <is>
          <t>定期存款</t>
        </is>
      </c>
      <c r="B44" s="12" t="inlineStr">
        <is>
          <t>负债</t>
        </is>
      </c>
      <c r="C44" s="13">
        <f>SUMIF($A$6:$A$29,$A44,$C$6:$C$29)</f>
        <v/>
      </c>
      <c r="D44" s="53">
        <f>IF(C44=0,0,E44/C44)</f>
        <v/>
      </c>
      <c r="E44" s="13">
        <f>SUMIF($A$6:$A$29,$A44,$E$6:$E$29)</f>
        <v/>
      </c>
      <c r="F44" s="13">
        <f>SUMIF($A$6:$A$29,$A44,$F$6:$F$29)</f>
        <v/>
      </c>
      <c r="G44" s="14">
        <f>IF(C44=0,0,F44/C44)</f>
        <v/>
      </c>
      <c r="H44" s="16" t="inlineStr">
        <is>
          <t>12 桶（12 个月内）结构，到期可续作定价</t>
        </is>
      </c>
    </row>
    <row r="45">
      <c r="A45" s="12" t="inlineStr">
        <is>
          <t>市场化负债</t>
        </is>
      </c>
      <c r="B45" s="12" t="inlineStr">
        <is>
          <t>负债</t>
        </is>
      </c>
      <c r="C45" s="13">
        <f>SUMIF($A$6:$A$29,$A45,$C$6:$C$29)</f>
        <v/>
      </c>
      <c r="D45" s="53">
        <f>IF(C45=0,0,E45/C45)</f>
        <v/>
      </c>
      <c r="E45" s="13">
        <f>SUMIF($A$6:$A$29,$A45,$E$6:$E$29)</f>
        <v/>
      </c>
      <c r="F45" s="13">
        <f>SUMIF($A$6:$A$29,$A45,$F$6:$F$29)</f>
        <v/>
      </c>
      <c r="G45" s="14">
        <f>IF(C45=0,0,F45/C45)</f>
        <v/>
      </c>
      <c r="H45" s="16" t="inlineStr">
        <is>
          <t>12 桶货币市场工具，β 接近 1</t>
        </is>
      </c>
    </row>
    <row r="46">
      <c r="A46" s="12" t="inlineStr">
        <is>
          <t>外币负债</t>
        </is>
      </c>
      <c r="B46" s="12" t="inlineStr">
        <is>
          <t>负债</t>
        </is>
      </c>
      <c r="C46" s="13">
        <f>SUMIF($A$6:$A$29,$A46,$C$6:$C$29)</f>
        <v/>
      </c>
      <c r="D46" s="53">
        <f>IF(C46=0,0,E46/C46)</f>
        <v/>
      </c>
      <c r="E46" s="13">
        <f>SUMIF($A$6:$A$29,$A46,$E$6:$E$29)</f>
        <v/>
      </c>
      <c r="F46" s="13">
        <f>SUMIF($A$6:$A$29,$A46,$F$6:$F$29)</f>
        <v/>
      </c>
      <c r="G46" s="14">
        <f>IF(C46=0,0,F46/C46)</f>
        <v/>
      </c>
      <c r="H46" s="16" t="inlineStr">
        <is>
          <t>折人民币负债，境内外利差影响</t>
        </is>
      </c>
    </row>
    <row r="48">
      <c r="A48" s="47" t="inlineStr">
        <is>
          <t>校验：资产条线敞口合计 = A_β 合计</t>
        </is>
      </c>
      <c r="B48" s="42" t="n"/>
      <c r="C48" s="42" t="n"/>
      <c r="D48" s="42" t="n"/>
      <c r="E48" s="59">
        <f>ROUND(SUM(E38:E42)-E30,6)</f>
        <v/>
      </c>
      <c r="F48" s="42" t="n"/>
      <c r="G48" s="42" t="n"/>
      <c r="H48" s="34" t="inlineStr">
        <is>
          <t>差额应为 0</t>
        </is>
      </c>
    </row>
    <row r="49">
      <c r="A49" s="47" t="inlineStr">
        <is>
          <t>校验：负债条线敞口合计 = L_β 合计</t>
        </is>
      </c>
      <c r="B49" s="42" t="n"/>
      <c r="C49" s="42" t="n"/>
      <c r="D49" s="42" t="n"/>
      <c r="E49" s="59">
        <f>ROUND(SUM(E43:E46)-E31,6)</f>
        <v/>
      </c>
      <c r="F49" s="42" t="n"/>
      <c r="G49" s="42" t="n"/>
      <c r="H49" s="34" t="inlineStr">
        <is>
          <t>差额应为 0</t>
        </is>
      </c>
    </row>
    <row r="51">
      <c r="A51" s="36" t="inlineStr">
        <is>
          <t>【三】重定价到期结构（按期限桶汇总，亿元）</t>
        </is>
      </c>
      <c r="B51" s="37" t="n"/>
      <c r="C51" s="37" t="n"/>
      <c r="D51" s="37" t="n"/>
      <c r="E51" s="37" t="n"/>
      <c r="F51" s="37" t="n"/>
      <c r="G51" s="37" t="n"/>
      <c r="H51" s="37" t="n"/>
    </row>
    <row r="52" ht="34" customHeight="1">
      <c r="A52" s="3" t="inlineStr">
        <is>
          <t>期限桶</t>
        </is>
      </c>
      <c r="B52" s="3" t="inlineStr">
        <is>
          <t>年数 t</t>
        </is>
      </c>
      <c r="C52" s="3" t="inlineStr">
        <is>
          <t>资产端分布</t>
        </is>
      </c>
      <c r="D52" s="3" t="inlineStr">
        <is>
          <t>负债端分布</t>
        </is>
      </c>
      <c r="E52" s="3" t="inlineStr">
        <is>
          <t>净头寸</t>
        </is>
      </c>
      <c r="F52" s="3" t="inlineStr">
        <is>
          <t>累计资产</t>
        </is>
      </c>
      <c r="G52" s="3" t="inlineStr">
        <is>
          <t>累计负债</t>
        </is>
      </c>
      <c r="H52" s="3" t="inlineStr">
        <is>
          <t>说明</t>
        </is>
      </c>
    </row>
    <row r="53">
      <c r="A53" s="24" t="inlineStr">
        <is>
          <t>1M</t>
        </is>
      </c>
      <c r="B53" s="30" t="n">
        <v>0.08333333333333333</v>
      </c>
      <c r="C53" s="27">
        <f>SUMIF('①数据源'!$C$4:$C$27,"资产",'②期限分布'!C$4:C$27)</f>
        <v/>
      </c>
      <c r="D53" s="60">
        <f>SUMIF('①数据源'!$C$4:$C$27,"负债",'②期限分布'!C$4:C$27)</f>
        <v/>
      </c>
      <c r="E53" s="27">
        <f>C53-D53</f>
        <v/>
      </c>
      <c r="F53" s="27">
        <f>C53</f>
        <v/>
      </c>
      <c r="G53" s="60">
        <f>D53</f>
        <v/>
      </c>
      <c r="H53" s="34" t="inlineStr">
        <is>
          <t>活期存款集中于 1M~3M → 负债端 1 年内到期占比高</t>
        </is>
      </c>
    </row>
    <row r="54">
      <c r="A54" s="24" t="inlineStr">
        <is>
          <t>2M</t>
        </is>
      </c>
      <c r="B54" s="30" t="n">
        <v>0.1666666666666667</v>
      </c>
      <c r="C54" s="27">
        <f>SUMIF('①数据源'!$C$4:$C$27,"资产",'②期限分布'!D$4:D$27)</f>
        <v/>
      </c>
      <c r="D54" s="60">
        <f>SUMIF('①数据源'!$C$4:$C$27,"负债",'②期限分布'!D$4:D$27)</f>
        <v/>
      </c>
      <c r="E54" s="27">
        <f>C54-D54</f>
        <v/>
      </c>
      <c r="F54" s="27">
        <f>F53+C54</f>
        <v/>
      </c>
      <c r="G54" s="60">
        <f>G53+D54</f>
        <v/>
      </c>
      <c r="H54" s="34" t="inlineStr">
        <is>
          <t>活期存款集中于 1M~3M → 负债端 1 年内到期占比高</t>
        </is>
      </c>
    </row>
    <row r="55">
      <c r="A55" s="24" t="inlineStr">
        <is>
          <t>3M</t>
        </is>
      </c>
      <c r="B55" s="30" t="n">
        <v>0.25</v>
      </c>
      <c r="C55" s="27">
        <f>SUMIF('①数据源'!$C$4:$C$27,"资产",'②期限分布'!E$4:E$27)</f>
        <v/>
      </c>
      <c r="D55" s="60">
        <f>SUMIF('①数据源'!$C$4:$C$27,"负债",'②期限分布'!E$4:E$27)</f>
        <v/>
      </c>
      <c r="E55" s="27">
        <f>C55-D55</f>
        <v/>
      </c>
      <c r="F55" s="27">
        <f>F54+C55</f>
        <v/>
      </c>
      <c r="G55" s="60">
        <f>G54+D55</f>
        <v/>
      </c>
      <c r="H55" s="34" t="inlineStr">
        <is>
          <t>活期存款集中于 1M~3M → 负债端 1 年内到期占比高</t>
        </is>
      </c>
    </row>
    <row r="56">
      <c r="A56" s="24" t="inlineStr">
        <is>
          <t>4M</t>
        </is>
      </c>
      <c r="B56" s="30" t="n">
        <v>0.3333333333333333</v>
      </c>
      <c r="C56" s="27">
        <f>SUMIF('①数据源'!$C$4:$C$27,"资产",'②期限分布'!F$4:F$27)</f>
        <v/>
      </c>
      <c r="D56" s="60">
        <f>SUMIF('①数据源'!$C$4:$C$27,"负债",'②期限分布'!F$4:F$27)</f>
        <v/>
      </c>
      <c r="E56" s="27">
        <f>C56-D56</f>
        <v/>
      </c>
      <c r="F56" s="27">
        <f>F55+C56</f>
        <v/>
      </c>
      <c r="G56" s="60">
        <f>G55+D56</f>
        <v/>
      </c>
      <c r="H56" s="34" t="inlineStr">
        <is>
          <t>定期 / 市场化负债集中于 1M~12M</t>
        </is>
      </c>
    </row>
    <row r="57">
      <c r="A57" s="24" t="inlineStr">
        <is>
          <t>5M</t>
        </is>
      </c>
      <c r="B57" s="30" t="n">
        <v>0.4166666666666667</v>
      </c>
      <c r="C57" s="27">
        <f>SUMIF('①数据源'!$C$4:$C$27,"资产",'②期限分布'!G$4:G$27)</f>
        <v/>
      </c>
      <c r="D57" s="60">
        <f>SUMIF('①数据源'!$C$4:$C$27,"负债",'②期限分布'!G$4:G$27)</f>
        <v/>
      </c>
      <c r="E57" s="27">
        <f>C57-D57</f>
        <v/>
      </c>
      <c r="F57" s="27">
        <f>F56+C57</f>
        <v/>
      </c>
      <c r="G57" s="60">
        <f>G56+D57</f>
        <v/>
      </c>
      <c r="H57" s="34" t="inlineStr">
        <is>
          <t>定期 / 市场化负债集中于 1M~12M</t>
        </is>
      </c>
    </row>
    <row r="58">
      <c r="A58" s="24" t="inlineStr">
        <is>
          <t>6M</t>
        </is>
      </c>
      <c r="B58" s="30" t="n">
        <v>0.5</v>
      </c>
      <c r="C58" s="27">
        <f>SUMIF('①数据源'!$C$4:$C$27,"资产",'②期限分布'!H$4:H$27)</f>
        <v/>
      </c>
      <c r="D58" s="60">
        <f>SUMIF('①数据源'!$C$4:$C$27,"负债",'②期限分布'!H$4:H$27)</f>
        <v/>
      </c>
      <c r="E58" s="27">
        <f>C58-D58</f>
        <v/>
      </c>
      <c r="F58" s="27">
        <f>F57+C58</f>
        <v/>
      </c>
      <c r="G58" s="60">
        <f>G57+D58</f>
        <v/>
      </c>
      <c r="H58" s="34" t="inlineStr">
        <is>
          <t>定期 / 市场化负债集中于 1M~12M</t>
        </is>
      </c>
    </row>
    <row r="59">
      <c r="A59" s="24" t="inlineStr">
        <is>
          <t>7M</t>
        </is>
      </c>
      <c r="B59" s="30" t="n">
        <v>0.5833333333333334</v>
      </c>
      <c r="C59" s="27">
        <f>SUMIF('①数据源'!$C$4:$C$27,"资产",'②期限分布'!I$4:I$27)</f>
        <v/>
      </c>
      <c r="D59" s="60">
        <f>SUMIF('①数据源'!$C$4:$C$27,"负债",'②期限分布'!I$4:I$27)</f>
        <v/>
      </c>
      <c r="E59" s="27">
        <f>C59-D59</f>
        <v/>
      </c>
      <c r="F59" s="27">
        <f>F58+C59</f>
        <v/>
      </c>
      <c r="G59" s="60">
        <f>G58+D59</f>
        <v/>
      </c>
      <c r="H59" s="34" t="inlineStr">
        <is>
          <t>定期 / 市场化负债集中于 1M~12M</t>
        </is>
      </c>
    </row>
    <row r="60">
      <c r="A60" s="24" t="inlineStr">
        <is>
          <t>8M</t>
        </is>
      </c>
      <c r="B60" s="30" t="n">
        <v>0.6666666666666666</v>
      </c>
      <c r="C60" s="27">
        <f>SUMIF('①数据源'!$C$4:$C$27,"资产",'②期限分布'!J$4:J$27)</f>
        <v/>
      </c>
      <c r="D60" s="60">
        <f>SUMIF('①数据源'!$C$4:$C$27,"负债",'②期限分布'!J$4:J$27)</f>
        <v/>
      </c>
      <c r="E60" s="27">
        <f>C60-D60</f>
        <v/>
      </c>
      <c r="F60" s="27">
        <f>F59+C60</f>
        <v/>
      </c>
      <c r="G60" s="60">
        <f>G59+D60</f>
        <v/>
      </c>
      <c r="H60" s="34" t="inlineStr">
        <is>
          <t>定期 / 市场化负债集中于 1M~12M</t>
        </is>
      </c>
    </row>
    <row r="61">
      <c r="A61" s="24" t="inlineStr">
        <is>
          <t>9M</t>
        </is>
      </c>
      <c r="B61" s="30" t="n">
        <v>0.75</v>
      </c>
      <c r="C61" s="27">
        <f>SUMIF('①数据源'!$C$4:$C$27,"资产",'②期限分布'!K$4:K$27)</f>
        <v/>
      </c>
      <c r="D61" s="60">
        <f>SUMIF('①数据源'!$C$4:$C$27,"负债",'②期限分布'!K$4:K$27)</f>
        <v/>
      </c>
      <c r="E61" s="27">
        <f>C61-D61</f>
        <v/>
      </c>
      <c r="F61" s="27">
        <f>F60+C61</f>
        <v/>
      </c>
      <c r="G61" s="60">
        <f>G60+D61</f>
        <v/>
      </c>
      <c r="H61" s="34" t="inlineStr">
        <is>
          <t>定期 / 市场化负债集中于 1M~12M</t>
        </is>
      </c>
    </row>
    <row r="62">
      <c r="A62" s="24" t="inlineStr">
        <is>
          <t>10M</t>
        </is>
      </c>
      <c r="B62" s="30" t="n">
        <v>0.8333333333333334</v>
      </c>
      <c r="C62" s="27">
        <f>SUMIF('①数据源'!$C$4:$C$27,"资产",'②期限分布'!L$4:L$27)</f>
        <v/>
      </c>
      <c r="D62" s="60">
        <f>SUMIF('①数据源'!$C$4:$C$27,"负债",'②期限分布'!L$4:L$27)</f>
        <v/>
      </c>
      <c r="E62" s="27">
        <f>C62-D62</f>
        <v/>
      </c>
      <c r="F62" s="27">
        <f>F61+C62</f>
        <v/>
      </c>
      <c r="G62" s="60">
        <f>G61+D62</f>
        <v/>
      </c>
      <c r="H62" s="34" t="inlineStr">
        <is>
          <t>定期 / 市场化负债集中于 1M~12M</t>
        </is>
      </c>
    </row>
    <row r="63">
      <c r="A63" s="24" t="inlineStr">
        <is>
          <t>11M</t>
        </is>
      </c>
      <c r="B63" s="30" t="n">
        <v>0.9166666666666666</v>
      </c>
      <c r="C63" s="27">
        <f>SUMIF('①数据源'!$C$4:$C$27,"资产",'②期限分布'!M$4:M$27)</f>
        <v/>
      </c>
      <c r="D63" s="60">
        <f>SUMIF('①数据源'!$C$4:$C$27,"负债",'②期限分布'!M$4:M$27)</f>
        <v/>
      </c>
      <c r="E63" s="27">
        <f>C63-D63</f>
        <v/>
      </c>
      <c r="F63" s="27">
        <f>F62+C63</f>
        <v/>
      </c>
      <c r="G63" s="60">
        <f>G62+D63</f>
        <v/>
      </c>
      <c r="H63" s="34" t="inlineStr">
        <is>
          <t>定期 / 市场化负债集中于 1M~12M</t>
        </is>
      </c>
    </row>
    <row r="64">
      <c r="A64" s="24" t="inlineStr">
        <is>
          <t>12M</t>
        </is>
      </c>
      <c r="B64" s="30" t="n">
        <v>1</v>
      </c>
      <c r="C64" s="27">
        <f>SUMIF('①数据源'!$C$4:$C$27,"资产",'②期限分布'!N$4:N$27)</f>
        <v/>
      </c>
      <c r="D64" s="60">
        <f>SUMIF('①数据源'!$C$4:$C$27,"负债",'②期限分布'!N$4:N$27)</f>
        <v/>
      </c>
      <c r="E64" s="27">
        <f>C64-D64</f>
        <v/>
      </c>
      <c r="F64" s="27">
        <f>F63+C64</f>
        <v/>
      </c>
      <c r="G64" s="60">
        <f>G63+D64</f>
        <v/>
      </c>
      <c r="H64" s="34" t="inlineStr">
        <is>
          <t>定期 / 市场化负债集中于 1M~12M</t>
        </is>
      </c>
    </row>
    <row r="65">
      <c r="A65" s="24" t="inlineStr">
        <is>
          <t>13M</t>
        </is>
      </c>
      <c r="B65" s="30" t="n">
        <v>1.083333333333333</v>
      </c>
      <c r="C65" s="27">
        <f>SUMIF('①数据源'!$C$4:$C$27,"资产",'②期限分布'!O$4:O$27)</f>
        <v/>
      </c>
      <c r="D65" s="60">
        <f>SUMIF('①数据源'!$C$4:$C$27,"负债",'②期限分布'!O$4:O$27)</f>
        <v/>
      </c>
      <c r="E65" s="27">
        <f>C65-D65</f>
        <v/>
      </c>
      <c r="F65" s="27">
        <f>F64+C65</f>
        <v/>
      </c>
      <c r="G65" s="60">
        <f>G64+D65</f>
        <v/>
      </c>
      <c r="H65" s="34" t="inlineStr">
        <is>
          <t>资产端分期延续至 16M</t>
        </is>
      </c>
    </row>
    <row r="66">
      <c r="A66" s="24" t="inlineStr">
        <is>
          <t>14M</t>
        </is>
      </c>
      <c r="B66" s="30" t="n">
        <v>1.166666666666667</v>
      </c>
      <c r="C66" s="27">
        <f>SUMIF('①数据源'!$C$4:$C$27,"资产",'②期限分布'!P$4:P$27)</f>
        <v/>
      </c>
      <c r="D66" s="60">
        <f>SUMIF('①数据源'!$C$4:$C$27,"负债",'②期限分布'!P$4:P$27)</f>
        <v/>
      </c>
      <c r="E66" s="27">
        <f>C66-D66</f>
        <v/>
      </c>
      <c r="F66" s="27">
        <f>F65+C66</f>
        <v/>
      </c>
      <c r="G66" s="60">
        <f>G65+D66</f>
        <v/>
      </c>
      <c r="H66" s="34" t="inlineStr">
        <is>
          <t>资产端分期延续至 16M</t>
        </is>
      </c>
    </row>
    <row r="67">
      <c r="A67" s="24" t="inlineStr">
        <is>
          <t>15M</t>
        </is>
      </c>
      <c r="B67" s="30" t="n">
        <v>1.25</v>
      </c>
      <c r="C67" s="27">
        <f>SUMIF('①数据源'!$C$4:$C$27,"资产",'②期限分布'!Q$4:Q$27)</f>
        <v/>
      </c>
      <c r="D67" s="60">
        <f>SUMIF('①数据源'!$C$4:$C$27,"负债",'②期限分布'!Q$4:Q$27)</f>
        <v/>
      </c>
      <c r="E67" s="27">
        <f>C67-D67</f>
        <v/>
      </c>
      <c r="F67" s="27">
        <f>F66+C67</f>
        <v/>
      </c>
      <c r="G67" s="60">
        <f>G66+D67</f>
        <v/>
      </c>
      <c r="H67" s="34" t="inlineStr">
        <is>
          <t>资产端分期延续至 16M</t>
        </is>
      </c>
    </row>
    <row r="68">
      <c r="A68" s="24" t="inlineStr">
        <is>
          <t>16M</t>
        </is>
      </c>
      <c r="B68" s="30" t="n">
        <v>1.333333333333333</v>
      </c>
      <c r="C68" s="27">
        <f>SUMIF('①数据源'!$C$4:$C$27,"资产",'②期限分布'!R$4:R$27)</f>
        <v/>
      </c>
      <c r="D68" s="60">
        <f>SUMIF('①数据源'!$C$4:$C$27,"负债",'②期限分布'!R$4:R$27)</f>
        <v/>
      </c>
      <c r="E68" s="27">
        <f>C68-D68</f>
        <v/>
      </c>
      <c r="F68" s="27">
        <f>F67+C68</f>
        <v/>
      </c>
      <c r="G68" s="60">
        <f>G67+D68</f>
        <v/>
      </c>
      <c r="H68" s="34" t="inlineStr">
        <is>
          <t>资产端分期延续至 16M</t>
        </is>
      </c>
    </row>
    <row r="69">
      <c r="A69" s="24" t="inlineStr">
        <is>
          <t>17M</t>
        </is>
      </c>
      <c r="B69" s="30" t="n">
        <v>1.416666666666667</v>
      </c>
      <c r="C69" s="27">
        <f>SUMIF('①数据源'!$C$4:$C$27,"资产",'②期限分布'!S$4:S$27)</f>
        <v/>
      </c>
      <c r="D69" s="60">
        <f>SUMIF('①数据源'!$C$4:$C$27,"负债",'②期限分布'!S$4:S$27)</f>
        <v/>
      </c>
      <c r="E69" s="27">
        <f>C69-D69</f>
        <v/>
      </c>
      <c r="F69" s="27">
        <f>F68+C69</f>
        <v/>
      </c>
      <c r="G69" s="60">
        <f>G68+D69</f>
        <v/>
      </c>
      <c r="H69" s="34" t="inlineStr">
        <is>
          <t>资产端分期延续至 16M</t>
        </is>
      </c>
    </row>
    <row r="70">
      <c r="A70" s="24" t="inlineStr">
        <is>
          <t>18M</t>
        </is>
      </c>
      <c r="B70" s="30" t="n">
        <v>1.5</v>
      </c>
      <c r="C70" s="27">
        <f>SUMIF('①数据源'!$C$4:$C$27,"资产",'②期限分布'!T$4:T$27)</f>
        <v/>
      </c>
      <c r="D70" s="60">
        <f>SUMIF('①数据源'!$C$4:$C$27,"负债",'②期限分布'!T$4:T$27)</f>
        <v/>
      </c>
      <c r="E70" s="27">
        <f>C70-D70</f>
        <v/>
      </c>
      <c r="F70" s="27">
        <f>F69+C70</f>
        <v/>
      </c>
      <c r="G70" s="60">
        <f>G69+D70</f>
        <v/>
      </c>
      <c r="H70" s="34" t="inlineStr">
        <is>
          <t>资产端分期延续至 16M</t>
        </is>
      </c>
    </row>
    <row r="71">
      <c r="A71" s="24" t="inlineStr">
        <is>
          <t>19M</t>
        </is>
      </c>
      <c r="B71" s="30" t="n">
        <v>1.583333333333333</v>
      </c>
      <c r="C71" s="27">
        <f>SUMIF('①数据源'!$C$4:$C$27,"资产",'②期限分布'!U$4:U$27)</f>
        <v/>
      </c>
      <c r="D71" s="60">
        <f>SUMIF('①数据源'!$C$4:$C$27,"负债",'②期限分布'!U$4:U$27)</f>
        <v/>
      </c>
      <c r="E71" s="27">
        <f>C71-D71</f>
        <v/>
      </c>
      <c r="F71" s="27">
        <f>F70+C71</f>
        <v/>
      </c>
      <c r="G71" s="60">
        <f>G70+D71</f>
        <v/>
      </c>
      <c r="H71" s="34" t="inlineStr">
        <is>
          <t>资产端分期延续至 16M</t>
        </is>
      </c>
    </row>
    <row r="72">
      <c r="A72" s="24" t="inlineStr">
        <is>
          <t>20M</t>
        </is>
      </c>
      <c r="B72" s="30" t="n">
        <v>1.666666666666667</v>
      </c>
      <c r="C72" s="27">
        <f>SUMIF('①数据源'!$C$4:$C$27,"资产",'②期限分布'!V$4:V$27)</f>
        <v/>
      </c>
      <c r="D72" s="60">
        <f>SUMIF('①数据源'!$C$4:$C$27,"负债",'②期限分布'!V$4:V$27)</f>
        <v/>
      </c>
      <c r="E72" s="27">
        <f>C72-D72</f>
        <v/>
      </c>
      <c r="F72" s="27">
        <f>F71+C72</f>
        <v/>
      </c>
      <c r="G72" s="60">
        <f>G71+D72</f>
        <v/>
      </c>
      <c r="H72" s="34" t="inlineStr">
        <is>
          <t>资产端分期延续至 16M</t>
        </is>
      </c>
    </row>
    <row r="73">
      <c r="A73" s="24" t="inlineStr">
        <is>
          <t>21M</t>
        </is>
      </c>
      <c r="B73" s="30" t="n">
        <v>1.75</v>
      </c>
      <c r="C73" s="27">
        <f>SUMIF('①数据源'!$C$4:$C$27,"资产",'②期限分布'!W$4:W$27)</f>
        <v/>
      </c>
      <c r="D73" s="60">
        <f>SUMIF('①数据源'!$C$4:$C$27,"负债",'②期限分布'!W$4:W$27)</f>
        <v/>
      </c>
      <c r="E73" s="27">
        <f>C73-D73</f>
        <v/>
      </c>
      <c r="F73" s="27">
        <f>F72+C73</f>
        <v/>
      </c>
      <c r="G73" s="60">
        <f>G72+D73</f>
        <v/>
      </c>
      <c r="H73" s="34" t="inlineStr">
        <is>
          <t>资产端分期延续至 16M</t>
        </is>
      </c>
    </row>
    <row r="74">
      <c r="A74" s="24" t="inlineStr">
        <is>
          <t>22M</t>
        </is>
      </c>
      <c r="B74" s="30" t="n">
        <v>1.833333333333333</v>
      </c>
      <c r="C74" s="27">
        <f>SUMIF('①数据源'!$C$4:$C$27,"资产",'②期限分布'!X$4:X$27)</f>
        <v/>
      </c>
      <c r="D74" s="60">
        <f>SUMIF('①数据源'!$C$4:$C$27,"负债",'②期限分布'!X$4:X$27)</f>
        <v/>
      </c>
      <c r="E74" s="27">
        <f>C74-D74</f>
        <v/>
      </c>
      <c r="F74" s="27">
        <f>F73+C74</f>
        <v/>
      </c>
      <c r="G74" s="60">
        <f>G73+D74</f>
        <v/>
      </c>
      <c r="H74" s="34" t="inlineStr">
        <is>
          <t>资产端分期延续至 16M</t>
        </is>
      </c>
    </row>
    <row r="75">
      <c r="A75" s="24" t="inlineStr">
        <is>
          <t>23M</t>
        </is>
      </c>
      <c r="B75" s="30" t="n">
        <v>1.916666666666667</v>
      </c>
      <c r="C75" s="27">
        <f>SUMIF('①数据源'!$C$4:$C$27,"资产",'②期限分布'!Y$4:Y$27)</f>
        <v/>
      </c>
      <c r="D75" s="60">
        <f>SUMIF('①数据源'!$C$4:$C$27,"负债",'②期限分布'!Y$4:Y$27)</f>
        <v/>
      </c>
      <c r="E75" s="27">
        <f>C75-D75</f>
        <v/>
      </c>
      <c r="F75" s="27">
        <f>F74+C75</f>
        <v/>
      </c>
      <c r="G75" s="60">
        <f>G74+D75</f>
        <v/>
      </c>
      <c r="H75" s="34" t="inlineStr">
        <is>
          <t>资产端分期延续至 16M</t>
        </is>
      </c>
    </row>
    <row r="76">
      <c r="A76" s="24" t="inlineStr">
        <is>
          <t>24M</t>
        </is>
      </c>
      <c r="B76" s="30" t="n">
        <v>2</v>
      </c>
      <c r="C76" s="27">
        <f>SUMIF('①数据源'!$C$4:$C$27,"资产",'②期限分布'!Z$4:Z$27)</f>
        <v/>
      </c>
      <c r="D76" s="60">
        <f>SUMIF('①数据源'!$C$4:$C$27,"负债",'②期限分布'!Z$4:Z$27)</f>
        <v/>
      </c>
      <c r="E76" s="27">
        <f>C76-D76</f>
        <v/>
      </c>
      <c r="F76" s="27">
        <f>F75+C76</f>
        <v/>
      </c>
      <c r="G76" s="60">
        <f>G75+D76</f>
        <v/>
      </c>
      <c r="H76" s="34" t="inlineStr">
        <is>
          <t>资产端分期延续至 16M</t>
        </is>
      </c>
    </row>
    <row r="77">
      <c r="A77" s="24" t="inlineStr">
        <is>
          <t>25M</t>
        </is>
      </c>
      <c r="B77" s="30" t="n">
        <v>2.083333333333333</v>
      </c>
      <c r="C77" s="27">
        <f>SUMIF('①数据源'!$C$4:$C$27,"资产",'②期限分布'!AA$4:AA$27)</f>
        <v/>
      </c>
      <c r="D77" s="60">
        <f>SUMIF('①数据源'!$C$4:$C$27,"负债",'②期限分布'!AA$4:AA$27)</f>
        <v/>
      </c>
      <c r="E77" s="27">
        <f>C77-D77</f>
        <v/>
      </c>
      <c r="F77" s="27">
        <f>F76+C77</f>
        <v/>
      </c>
      <c r="G77" s="60">
        <f>G76+D77</f>
        <v/>
      </c>
      <c r="H77" s="34" t="inlineStr">
        <is>
          <t>资产端分期延续至 16M</t>
        </is>
      </c>
    </row>
    <row r="78">
      <c r="A78" s="24" t="inlineStr">
        <is>
          <t>26M</t>
        </is>
      </c>
      <c r="B78" s="30" t="n">
        <v>2.166666666666667</v>
      </c>
      <c r="C78" s="27">
        <f>SUMIF('①数据源'!$C$4:$C$27,"资产",'②期限分布'!AB$4:AB$27)</f>
        <v/>
      </c>
      <c r="D78" s="60">
        <f>SUMIF('①数据源'!$C$4:$C$27,"负债",'②期限分布'!AB$4:AB$27)</f>
        <v/>
      </c>
      <c r="E78" s="27">
        <f>C78-D78</f>
        <v/>
      </c>
      <c r="F78" s="27">
        <f>F77+C78</f>
        <v/>
      </c>
      <c r="G78" s="60">
        <f>G77+D78</f>
        <v/>
      </c>
      <c r="H78" s="34" t="inlineStr">
        <is>
          <t>资产端分期延续至 16M</t>
        </is>
      </c>
    </row>
    <row r="79">
      <c r="A79" s="24" t="inlineStr">
        <is>
          <t>27M</t>
        </is>
      </c>
      <c r="B79" s="30" t="n">
        <v>2.25</v>
      </c>
      <c r="C79" s="27">
        <f>SUMIF('①数据源'!$C$4:$C$27,"资产",'②期限分布'!AC$4:AC$27)</f>
        <v/>
      </c>
      <c r="D79" s="60">
        <f>SUMIF('①数据源'!$C$4:$C$27,"负债",'②期限分布'!AC$4:AC$27)</f>
        <v/>
      </c>
      <c r="E79" s="27">
        <f>C79-D79</f>
        <v/>
      </c>
      <c r="F79" s="27">
        <f>F78+C79</f>
        <v/>
      </c>
      <c r="G79" s="60">
        <f>G78+D79</f>
        <v/>
      </c>
      <c r="H79" s="34" t="inlineStr">
        <is>
          <t>资产端分期延续至 16M</t>
        </is>
      </c>
    </row>
    <row r="80">
      <c r="A80" s="24" t="inlineStr">
        <is>
          <t>28M</t>
        </is>
      </c>
      <c r="B80" s="30" t="n">
        <v>2.333333333333333</v>
      </c>
      <c r="C80" s="27">
        <f>SUMIF('①数据源'!$C$4:$C$27,"资产",'②期限分布'!AD$4:AD$27)</f>
        <v/>
      </c>
      <c r="D80" s="60">
        <f>SUMIF('①数据源'!$C$4:$C$27,"负债",'②期限分布'!AD$4:AD$27)</f>
        <v/>
      </c>
      <c r="E80" s="27">
        <f>C80-D80</f>
        <v/>
      </c>
      <c r="F80" s="27">
        <f>F79+C80</f>
        <v/>
      </c>
      <c r="G80" s="60">
        <f>G79+D80</f>
        <v/>
      </c>
      <c r="H80" s="34" t="inlineStr">
        <is>
          <t>资产端分期延续至 16M</t>
        </is>
      </c>
    </row>
    <row r="81">
      <c r="A81" s="24" t="inlineStr">
        <is>
          <t>29M</t>
        </is>
      </c>
      <c r="B81" s="30" t="n">
        <v>2.416666666666667</v>
      </c>
      <c r="C81" s="27">
        <f>SUMIF('①数据源'!$C$4:$C$27,"资产",'②期限分布'!AE$4:AE$27)</f>
        <v/>
      </c>
      <c r="D81" s="60">
        <f>SUMIF('①数据源'!$C$4:$C$27,"负债",'②期限分布'!AE$4:AE$27)</f>
        <v/>
      </c>
      <c r="E81" s="27">
        <f>C81-D81</f>
        <v/>
      </c>
      <c r="F81" s="27">
        <f>F80+C81</f>
        <v/>
      </c>
      <c r="G81" s="60">
        <f>G80+D81</f>
        <v/>
      </c>
      <c r="H81" s="34" t="inlineStr">
        <is>
          <t>资产端分期延续至 16M</t>
        </is>
      </c>
    </row>
    <row r="82">
      <c r="A82" s="24" t="inlineStr">
        <is>
          <t>30M</t>
        </is>
      </c>
      <c r="B82" s="30" t="n">
        <v>2.5</v>
      </c>
      <c r="C82" s="27">
        <f>SUMIF('①数据源'!$C$4:$C$27,"资产",'②期限分布'!AF$4:AF$27)</f>
        <v/>
      </c>
      <c r="D82" s="60">
        <f>SUMIF('①数据源'!$C$4:$C$27,"负债",'②期限分布'!AF$4:AF$27)</f>
        <v/>
      </c>
      <c r="E82" s="27">
        <f>C82-D82</f>
        <v/>
      </c>
      <c r="F82" s="27">
        <f>F81+C82</f>
        <v/>
      </c>
      <c r="G82" s="60">
        <f>G81+D82</f>
        <v/>
      </c>
      <c r="H82" s="34" t="inlineStr">
        <is>
          <t>资产端分期延续至 16M</t>
        </is>
      </c>
    </row>
    <row r="83">
      <c r="A83" s="24" t="inlineStr">
        <is>
          <t>31M</t>
        </is>
      </c>
      <c r="B83" s="30" t="n">
        <v>2.583333333333333</v>
      </c>
      <c r="C83" s="27">
        <f>SUMIF('①数据源'!$C$4:$C$27,"资产",'②期限分布'!AG$4:AG$27)</f>
        <v/>
      </c>
      <c r="D83" s="60">
        <f>SUMIF('①数据源'!$C$4:$C$27,"负债",'②期限分布'!AG$4:AG$27)</f>
        <v/>
      </c>
      <c r="E83" s="27">
        <f>C83-D83</f>
        <v/>
      </c>
      <c r="F83" s="27">
        <f>F82+C83</f>
        <v/>
      </c>
      <c r="G83" s="60">
        <f>G82+D83</f>
        <v/>
      </c>
      <c r="H83" s="34" t="inlineStr">
        <is>
          <t>资产端分期延续至 16M</t>
        </is>
      </c>
    </row>
    <row r="84">
      <c r="A84" s="24" t="inlineStr">
        <is>
          <t>32M</t>
        </is>
      </c>
      <c r="B84" s="30" t="n">
        <v>2.666666666666667</v>
      </c>
      <c r="C84" s="27">
        <f>SUMIF('①数据源'!$C$4:$C$27,"资产",'②期限分布'!AH$4:AH$27)</f>
        <v/>
      </c>
      <c r="D84" s="60">
        <f>SUMIF('①数据源'!$C$4:$C$27,"负债",'②期限分布'!AH$4:AH$27)</f>
        <v/>
      </c>
      <c r="E84" s="27">
        <f>C84-D84</f>
        <v/>
      </c>
      <c r="F84" s="27">
        <f>F83+C84</f>
        <v/>
      </c>
      <c r="G84" s="60">
        <f>G83+D84</f>
        <v/>
      </c>
      <c r="H84" s="34" t="inlineStr">
        <is>
          <t>资产端分期延续至 16M</t>
        </is>
      </c>
    </row>
    <row r="85">
      <c r="A85" s="24" t="inlineStr">
        <is>
          <t>33M</t>
        </is>
      </c>
      <c r="B85" s="30" t="n">
        <v>2.75</v>
      </c>
      <c r="C85" s="27">
        <f>SUMIF('①数据源'!$C$4:$C$27,"资产",'②期限分布'!AI$4:AI$27)</f>
        <v/>
      </c>
      <c r="D85" s="60">
        <f>SUMIF('①数据源'!$C$4:$C$27,"负债",'②期限分布'!AI$4:AI$27)</f>
        <v/>
      </c>
      <c r="E85" s="27">
        <f>C85-D85</f>
        <v/>
      </c>
      <c r="F85" s="27">
        <f>F84+C85</f>
        <v/>
      </c>
      <c r="G85" s="60">
        <f>G84+D85</f>
        <v/>
      </c>
      <c r="H85" s="34" t="inlineStr">
        <is>
          <t>资产端分期延续至 16M</t>
        </is>
      </c>
    </row>
    <row r="86">
      <c r="A86" s="24" t="inlineStr">
        <is>
          <t>34M</t>
        </is>
      </c>
      <c r="B86" s="30" t="n">
        <v>2.833333333333333</v>
      </c>
      <c r="C86" s="27">
        <f>SUMIF('①数据源'!$C$4:$C$27,"资产",'②期限分布'!AJ$4:AJ$27)</f>
        <v/>
      </c>
      <c r="D86" s="60">
        <f>SUMIF('①数据源'!$C$4:$C$27,"负债",'②期限分布'!AJ$4:AJ$27)</f>
        <v/>
      </c>
      <c r="E86" s="27">
        <f>C86-D86</f>
        <v/>
      </c>
      <c r="F86" s="27">
        <f>F85+C86</f>
        <v/>
      </c>
      <c r="G86" s="60">
        <f>G85+D86</f>
        <v/>
      </c>
      <c r="H86" s="34" t="inlineStr">
        <is>
          <t>资产端分期延续至 16M</t>
        </is>
      </c>
    </row>
    <row r="87">
      <c r="A87" s="24" t="inlineStr">
        <is>
          <t>35M</t>
        </is>
      </c>
      <c r="B87" s="30" t="n">
        <v>2.916666666666667</v>
      </c>
      <c r="C87" s="27">
        <f>SUMIF('①数据源'!$C$4:$C$27,"资产",'②期限分布'!AK$4:AK$27)</f>
        <v/>
      </c>
      <c r="D87" s="60">
        <f>SUMIF('①数据源'!$C$4:$C$27,"负债",'②期限分布'!AK$4:AK$27)</f>
        <v/>
      </c>
      <c r="E87" s="27">
        <f>C87-D87</f>
        <v/>
      </c>
      <c r="F87" s="27">
        <f>F86+C87</f>
        <v/>
      </c>
      <c r="G87" s="60">
        <f>G86+D87</f>
        <v/>
      </c>
      <c r="H87" s="34" t="inlineStr">
        <is>
          <t>资产端分期延续至 16M</t>
        </is>
      </c>
    </row>
    <row r="88">
      <c r="A88" s="24" t="inlineStr">
        <is>
          <t>36M</t>
        </is>
      </c>
      <c r="B88" s="30" t="n">
        <v>3</v>
      </c>
      <c r="C88" s="27">
        <f>SUMIF('①数据源'!$C$4:$C$27,"资产",'②期限分布'!AL$4:AL$27)</f>
        <v/>
      </c>
      <c r="D88" s="60">
        <f>SUMIF('①数据源'!$C$4:$C$27,"负债",'②期限分布'!AL$4:AL$27)</f>
        <v/>
      </c>
      <c r="E88" s="27">
        <f>C88-D88</f>
        <v/>
      </c>
      <c r="F88" s="27">
        <f>F87+C88</f>
        <v/>
      </c>
      <c r="G88" s="60">
        <f>G87+D88</f>
        <v/>
      </c>
      <c r="H88" s="34" t="inlineStr">
        <is>
          <t>资产端分期延续至 16M</t>
        </is>
      </c>
    </row>
    <row r="89">
      <c r="A89" s="24" t="inlineStr">
        <is>
          <t>37M</t>
        </is>
      </c>
      <c r="B89" s="30" t="n">
        <v>3.083333333333333</v>
      </c>
      <c r="C89" s="27">
        <f>SUMIF('①数据源'!$C$4:$C$27,"资产",'②期限分布'!AM$4:AM$27)</f>
        <v/>
      </c>
      <c r="D89" s="60">
        <f>SUMIF('①数据源'!$C$4:$C$27,"负债",'②期限分布'!AM$4:AM$27)</f>
        <v/>
      </c>
      <c r="E89" s="27">
        <f>C89-D89</f>
        <v/>
      </c>
      <c r="F89" s="27">
        <f>F88+C89</f>
        <v/>
      </c>
      <c r="G89" s="60">
        <f>G88+D89</f>
        <v/>
      </c>
      <c r="H89" s="34" t="inlineStr">
        <is>
          <t>资产端分期延续至 16M</t>
        </is>
      </c>
    </row>
    <row r="90">
      <c r="A90" s="24" t="inlineStr">
        <is>
          <t>38M</t>
        </is>
      </c>
      <c r="B90" s="30" t="n">
        <v>3.166666666666667</v>
      </c>
      <c r="C90" s="27">
        <f>SUMIF('①数据源'!$C$4:$C$27,"资产",'②期限分布'!AN$4:AN$27)</f>
        <v/>
      </c>
      <c r="D90" s="60">
        <f>SUMIF('①数据源'!$C$4:$C$27,"负债",'②期限分布'!AN$4:AN$27)</f>
        <v/>
      </c>
      <c r="E90" s="27">
        <f>C90-D90</f>
        <v/>
      </c>
      <c r="F90" s="27">
        <f>F89+C90</f>
        <v/>
      </c>
      <c r="G90" s="60">
        <f>G89+D90</f>
        <v/>
      </c>
      <c r="H90" s="34" t="inlineStr">
        <is>
          <t>资产端分期延续至 16M</t>
        </is>
      </c>
    </row>
    <row r="91">
      <c r="A91" s="24" t="inlineStr">
        <is>
          <t>39M</t>
        </is>
      </c>
      <c r="B91" s="30" t="n">
        <v>3.25</v>
      </c>
      <c r="C91" s="27">
        <f>SUMIF('①数据源'!$C$4:$C$27,"资产",'②期限分布'!AO$4:AO$27)</f>
        <v/>
      </c>
      <c r="D91" s="60">
        <f>SUMIF('①数据源'!$C$4:$C$27,"负债",'②期限分布'!AO$4:AO$27)</f>
        <v/>
      </c>
      <c r="E91" s="27">
        <f>C91-D91</f>
        <v/>
      </c>
      <c r="F91" s="27">
        <f>F90+C91</f>
        <v/>
      </c>
      <c r="G91" s="60">
        <f>G90+D91</f>
        <v/>
      </c>
      <c r="H91" s="34" t="inlineStr">
        <is>
          <t>资产端分期延续至 16M</t>
        </is>
      </c>
    </row>
    <row r="92">
      <c r="A92" s="24" t="inlineStr">
        <is>
          <t>40M</t>
        </is>
      </c>
      <c r="B92" s="30" t="n">
        <v>3.333333333333333</v>
      </c>
      <c r="C92" s="27">
        <f>SUMIF('①数据源'!$C$4:$C$27,"资产",'②期限分布'!AP$4:AP$27)</f>
        <v/>
      </c>
      <c r="D92" s="60">
        <f>SUMIF('①数据源'!$C$4:$C$27,"负债",'②期限分布'!AP$4:AP$27)</f>
        <v/>
      </c>
      <c r="E92" s="27">
        <f>C92-D92</f>
        <v/>
      </c>
      <c r="F92" s="27">
        <f>F91+C92</f>
        <v/>
      </c>
      <c r="G92" s="60">
        <f>G91+D92</f>
        <v/>
      </c>
      <c r="H92" s="34" t="inlineStr">
        <is>
          <t>资产端分期延续至 16M</t>
        </is>
      </c>
    </row>
    <row r="93">
      <c r="A93" s="24" t="inlineStr">
        <is>
          <t>41M</t>
        </is>
      </c>
      <c r="B93" s="30" t="n">
        <v>3.416666666666667</v>
      </c>
      <c r="C93" s="27">
        <f>SUMIF('①数据源'!$C$4:$C$27,"资产",'②期限分布'!AQ$4:AQ$27)</f>
        <v/>
      </c>
      <c r="D93" s="60">
        <f>SUMIF('①数据源'!$C$4:$C$27,"负债",'②期限分布'!AQ$4:AQ$27)</f>
        <v/>
      </c>
      <c r="E93" s="27">
        <f>C93-D93</f>
        <v/>
      </c>
      <c r="F93" s="27">
        <f>F92+C93</f>
        <v/>
      </c>
      <c r="G93" s="60">
        <f>G92+D93</f>
        <v/>
      </c>
      <c r="H93" s="34" t="inlineStr">
        <is>
          <t>资产端分期延续至 16M</t>
        </is>
      </c>
    </row>
    <row r="94">
      <c r="A94" s="24" t="inlineStr">
        <is>
          <t>42M</t>
        </is>
      </c>
      <c r="B94" s="30" t="n">
        <v>3.5</v>
      </c>
      <c r="C94" s="27">
        <f>SUMIF('①数据源'!$C$4:$C$27,"资产",'②期限分布'!AR$4:AR$27)</f>
        <v/>
      </c>
      <c r="D94" s="60">
        <f>SUMIF('①数据源'!$C$4:$C$27,"负债",'②期限分布'!AR$4:AR$27)</f>
        <v/>
      </c>
      <c r="E94" s="27">
        <f>C94-D94</f>
        <v/>
      </c>
      <c r="F94" s="27">
        <f>F93+C94</f>
        <v/>
      </c>
      <c r="G94" s="60">
        <f>G93+D94</f>
        <v/>
      </c>
      <c r="H94" s="34" t="inlineStr">
        <is>
          <t>资产端分期延续至 16M</t>
        </is>
      </c>
    </row>
    <row r="95">
      <c r="A95" s="24" t="inlineStr">
        <is>
          <t>43M</t>
        </is>
      </c>
      <c r="B95" s="30" t="n">
        <v>3.583333333333333</v>
      </c>
      <c r="C95" s="27">
        <f>SUMIF('①数据源'!$C$4:$C$27,"资产",'②期限分布'!AS$4:AS$27)</f>
        <v/>
      </c>
      <c r="D95" s="60">
        <f>SUMIF('①数据源'!$C$4:$C$27,"负债",'②期限分布'!AS$4:AS$27)</f>
        <v/>
      </c>
      <c r="E95" s="27">
        <f>C95-D95</f>
        <v/>
      </c>
      <c r="F95" s="27">
        <f>F94+C95</f>
        <v/>
      </c>
      <c r="G95" s="60">
        <f>G94+D95</f>
        <v/>
      </c>
      <c r="H95" s="34" t="inlineStr">
        <is>
          <t>资产端分期延续至 16M</t>
        </is>
      </c>
    </row>
    <row r="96">
      <c r="A96" s="24" t="inlineStr">
        <is>
          <t>44M</t>
        </is>
      </c>
      <c r="B96" s="30" t="n">
        <v>3.666666666666667</v>
      </c>
      <c r="C96" s="27">
        <f>SUMIF('①数据源'!$C$4:$C$27,"资产",'②期限分布'!AT$4:AT$27)</f>
        <v/>
      </c>
      <c r="D96" s="60">
        <f>SUMIF('①数据源'!$C$4:$C$27,"负债",'②期限分布'!AT$4:AT$27)</f>
        <v/>
      </c>
      <c r="E96" s="27">
        <f>C96-D96</f>
        <v/>
      </c>
      <c r="F96" s="27">
        <f>F95+C96</f>
        <v/>
      </c>
      <c r="G96" s="60">
        <f>G95+D96</f>
        <v/>
      </c>
      <c r="H96" s="34" t="inlineStr">
        <is>
          <t>资产端分期延续至 16M</t>
        </is>
      </c>
    </row>
    <row r="97">
      <c r="A97" s="24" t="inlineStr">
        <is>
          <t>45M</t>
        </is>
      </c>
      <c r="B97" s="30" t="n">
        <v>3.75</v>
      </c>
      <c r="C97" s="27">
        <f>SUMIF('①数据源'!$C$4:$C$27,"资产",'②期限分布'!AU$4:AU$27)</f>
        <v/>
      </c>
      <c r="D97" s="60">
        <f>SUMIF('①数据源'!$C$4:$C$27,"负债",'②期限分布'!AU$4:AU$27)</f>
        <v/>
      </c>
      <c r="E97" s="27">
        <f>C97-D97</f>
        <v/>
      </c>
      <c r="F97" s="27">
        <f>F96+C97</f>
        <v/>
      </c>
      <c r="G97" s="60">
        <f>G96+D97</f>
        <v/>
      </c>
      <c r="H97" s="34" t="inlineStr">
        <is>
          <t>资产端分期延续至 16M</t>
        </is>
      </c>
    </row>
    <row r="98">
      <c r="A98" s="24" t="inlineStr">
        <is>
          <t>46M</t>
        </is>
      </c>
      <c r="B98" s="30" t="n">
        <v>3.833333333333333</v>
      </c>
      <c r="C98" s="27">
        <f>SUMIF('①数据源'!$C$4:$C$27,"资产",'②期限分布'!AV$4:AV$27)</f>
        <v/>
      </c>
      <c r="D98" s="60">
        <f>SUMIF('①数据源'!$C$4:$C$27,"负债",'②期限分布'!AV$4:AV$27)</f>
        <v/>
      </c>
      <c r="E98" s="27">
        <f>C98-D98</f>
        <v/>
      </c>
      <c r="F98" s="27">
        <f>F97+C98</f>
        <v/>
      </c>
      <c r="G98" s="60">
        <f>G97+D98</f>
        <v/>
      </c>
      <c r="H98" s="34" t="inlineStr">
        <is>
          <t>资产端分期延续至 16M</t>
        </is>
      </c>
    </row>
    <row r="99">
      <c r="A99" s="24" t="inlineStr">
        <is>
          <t>47M</t>
        </is>
      </c>
      <c r="B99" s="30" t="n">
        <v>3.916666666666667</v>
      </c>
      <c r="C99" s="27">
        <f>SUMIF('①数据源'!$C$4:$C$27,"资产",'②期限分布'!AW$4:AW$27)</f>
        <v/>
      </c>
      <c r="D99" s="60">
        <f>SUMIF('①数据源'!$C$4:$C$27,"负债",'②期限分布'!AW$4:AW$27)</f>
        <v/>
      </c>
      <c r="E99" s="27">
        <f>C99-D99</f>
        <v/>
      </c>
      <c r="F99" s="27">
        <f>F98+C99</f>
        <v/>
      </c>
      <c r="G99" s="60">
        <f>G98+D99</f>
        <v/>
      </c>
      <c r="H99" s="34" t="inlineStr">
        <is>
          <t>资产端分期延续至 16M</t>
        </is>
      </c>
    </row>
    <row r="100">
      <c r="A100" s="24" t="inlineStr">
        <is>
          <t>48M</t>
        </is>
      </c>
      <c r="B100" s="30" t="n">
        <v>4</v>
      </c>
      <c r="C100" s="27">
        <f>SUMIF('①数据源'!$C$4:$C$27,"资产",'②期限分布'!AX$4:AX$27)</f>
        <v/>
      </c>
      <c r="D100" s="60">
        <f>SUMIF('①数据源'!$C$4:$C$27,"负债",'②期限分布'!AX$4:AX$27)</f>
        <v/>
      </c>
      <c r="E100" s="27">
        <f>C100-D100</f>
        <v/>
      </c>
      <c r="F100" s="27">
        <f>F99+C100</f>
        <v/>
      </c>
      <c r="G100" s="60">
        <f>G99+D100</f>
        <v/>
      </c>
      <c r="H100" s="34" t="inlineStr">
        <is>
          <t>资产端分期延续至 16M</t>
        </is>
      </c>
    </row>
    <row r="101">
      <c r="A101" s="24" t="inlineStr">
        <is>
          <t>49M</t>
        </is>
      </c>
      <c r="B101" s="30" t="n">
        <v>4.083333333333333</v>
      </c>
      <c r="C101" s="27">
        <f>SUMIF('①数据源'!$C$4:$C$27,"资产",'②期限分布'!AY$4:AY$27)</f>
        <v/>
      </c>
      <c r="D101" s="60">
        <f>SUMIF('①数据源'!$C$4:$C$27,"负债",'②期限分布'!AY$4:AY$27)</f>
        <v/>
      </c>
      <c r="E101" s="27">
        <f>C101-D101</f>
        <v/>
      </c>
      <c r="F101" s="27">
        <f>F100+C101</f>
        <v/>
      </c>
      <c r="G101" s="60">
        <f>G100+D101</f>
        <v/>
      </c>
      <c r="H101" s="34" t="inlineStr">
        <is>
          <t>资产端分期延续至 16M</t>
        </is>
      </c>
    </row>
    <row r="102">
      <c r="A102" s="24" t="inlineStr">
        <is>
          <t>50M</t>
        </is>
      </c>
      <c r="B102" s="30" t="n">
        <v>4.166666666666667</v>
      </c>
      <c r="C102" s="27">
        <f>SUMIF('①数据源'!$C$4:$C$27,"资产",'②期限分布'!AZ$4:AZ$27)</f>
        <v/>
      </c>
      <c r="D102" s="60">
        <f>SUMIF('①数据源'!$C$4:$C$27,"负债",'②期限分布'!AZ$4:AZ$27)</f>
        <v/>
      </c>
      <c r="E102" s="27">
        <f>C102-D102</f>
        <v/>
      </c>
      <c r="F102" s="27">
        <f>F101+C102</f>
        <v/>
      </c>
      <c r="G102" s="60">
        <f>G101+D102</f>
        <v/>
      </c>
      <c r="H102" s="34" t="inlineStr">
        <is>
          <t>资产端分期延续至 16M</t>
        </is>
      </c>
    </row>
    <row r="103">
      <c r="A103" s="24" t="inlineStr">
        <is>
          <t>51M</t>
        </is>
      </c>
      <c r="B103" s="30" t="n">
        <v>4.25</v>
      </c>
      <c r="C103" s="27">
        <f>SUMIF('①数据源'!$C$4:$C$27,"资产",'②期限分布'!BA$4:BA$27)</f>
        <v/>
      </c>
      <c r="D103" s="60">
        <f>SUMIF('①数据源'!$C$4:$C$27,"负债",'②期限分布'!BA$4:BA$27)</f>
        <v/>
      </c>
      <c r="E103" s="27">
        <f>C103-D103</f>
        <v/>
      </c>
      <c r="F103" s="27">
        <f>F102+C103</f>
        <v/>
      </c>
      <c r="G103" s="60">
        <f>G102+D103</f>
        <v/>
      </c>
      <c r="H103" s="34" t="inlineStr">
        <is>
          <t>资产端分期延续至 16M</t>
        </is>
      </c>
    </row>
    <row r="104">
      <c r="A104" s="24" t="inlineStr">
        <is>
          <t>52M</t>
        </is>
      </c>
      <c r="B104" s="30" t="n">
        <v>4.333333333333333</v>
      </c>
      <c r="C104" s="27">
        <f>SUMIF('①数据源'!$C$4:$C$27,"资产",'②期限分布'!BB$4:BB$27)</f>
        <v/>
      </c>
      <c r="D104" s="60">
        <f>SUMIF('①数据源'!$C$4:$C$27,"负债",'②期限分布'!BB$4:BB$27)</f>
        <v/>
      </c>
      <c r="E104" s="27">
        <f>C104-D104</f>
        <v/>
      </c>
      <c r="F104" s="27">
        <f>F103+C104</f>
        <v/>
      </c>
      <c r="G104" s="60">
        <f>G103+D104</f>
        <v/>
      </c>
      <c r="H104" s="34" t="inlineStr">
        <is>
          <t>资产端分期延续至 16M</t>
        </is>
      </c>
    </row>
    <row r="105">
      <c r="A105" s="24" t="inlineStr">
        <is>
          <t>53M</t>
        </is>
      </c>
      <c r="B105" s="30" t="n">
        <v>4.416666666666667</v>
      </c>
      <c r="C105" s="27">
        <f>SUMIF('①数据源'!$C$4:$C$27,"资产",'②期限分布'!BC$4:BC$27)</f>
        <v/>
      </c>
      <c r="D105" s="60">
        <f>SUMIF('①数据源'!$C$4:$C$27,"负债",'②期限分布'!BC$4:BC$27)</f>
        <v/>
      </c>
      <c r="E105" s="27">
        <f>C105-D105</f>
        <v/>
      </c>
      <c r="F105" s="27">
        <f>F104+C105</f>
        <v/>
      </c>
      <c r="G105" s="60">
        <f>G104+D105</f>
        <v/>
      </c>
      <c r="H105" s="34" t="inlineStr">
        <is>
          <t>资产端分期延续至 16M</t>
        </is>
      </c>
    </row>
    <row r="106">
      <c r="A106" s="24" t="inlineStr">
        <is>
          <t>54M</t>
        </is>
      </c>
      <c r="B106" s="30" t="n">
        <v>4.5</v>
      </c>
      <c r="C106" s="27">
        <f>SUMIF('①数据源'!$C$4:$C$27,"资产",'②期限分布'!BD$4:BD$27)</f>
        <v/>
      </c>
      <c r="D106" s="60">
        <f>SUMIF('①数据源'!$C$4:$C$27,"负债",'②期限分布'!BD$4:BD$27)</f>
        <v/>
      </c>
      <c r="E106" s="27">
        <f>C106-D106</f>
        <v/>
      </c>
      <c r="F106" s="27">
        <f>F105+C106</f>
        <v/>
      </c>
      <c r="G106" s="60">
        <f>G105+D106</f>
        <v/>
      </c>
      <c r="H106" s="34" t="inlineStr">
        <is>
          <t>资产端分期延续至 16M</t>
        </is>
      </c>
    </row>
    <row r="107">
      <c r="A107" s="24" t="inlineStr">
        <is>
          <t>55M</t>
        </is>
      </c>
      <c r="B107" s="30" t="n">
        <v>4.583333333333333</v>
      </c>
      <c r="C107" s="27">
        <f>SUMIF('①数据源'!$C$4:$C$27,"资产",'②期限分布'!BE$4:BE$27)</f>
        <v/>
      </c>
      <c r="D107" s="60">
        <f>SUMIF('①数据源'!$C$4:$C$27,"负债",'②期限分布'!BE$4:BE$27)</f>
        <v/>
      </c>
      <c r="E107" s="27">
        <f>C107-D107</f>
        <v/>
      </c>
      <c r="F107" s="27">
        <f>F106+C107</f>
        <v/>
      </c>
      <c r="G107" s="60">
        <f>G106+D107</f>
        <v/>
      </c>
      <c r="H107" s="34" t="inlineStr">
        <is>
          <t>资产端分期延续至 16M</t>
        </is>
      </c>
    </row>
    <row r="108">
      <c r="A108" s="24" t="inlineStr">
        <is>
          <t>56M</t>
        </is>
      </c>
      <c r="B108" s="30" t="n">
        <v>4.666666666666667</v>
      </c>
      <c r="C108" s="27">
        <f>SUMIF('①数据源'!$C$4:$C$27,"资产",'②期限分布'!BF$4:BF$27)</f>
        <v/>
      </c>
      <c r="D108" s="60">
        <f>SUMIF('①数据源'!$C$4:$C$27,"负债",'②期限分布'!BF$4:BF$27)</f>
        <v/>
      </c>
      <c r="E108" s="27">
        <f>C108-D108</f>
        <v/>
      </c>
      <c r="F108" s="27">
        <f>F107+C108</f>
        <v/>
      </c>
      <c r="G108" s="60">
        <f>G107+D108</f>
        <v/>
      </c>
      <c r="H108" s="34" t="inlineStr">
        <is>
          <t>资产端分期延续至 16M</t>
        </is>
      </c>
    </row>
    <row r="109">
      <c r="A109" s="24" t="inlineStr">
        <is>
          <t>57M</t>
        </is>
      </c>
      <c r="B109" s="30" t="n">
        <v>4.75</v>
      </c>
      <c r="C109" s="27">
        <f>SUMIF('①数据源'!$C$4:$C$27,"资产",'②期限分布'!BG$4:BG$27)</f>
        <v/>
      </c>
      <c r="D109" s="60">
        <f>SUMIF('①数据源'!$C$4:$C$27,"负债",'②期限分布'!BG$4:BG$27)</f>
        <v/>
      </c>
      <c r="E109" s="27">
        <f>C109-D109</f>
        <v/>
      </c>
      <c r="F109" s="27">
        <f>F108+C109</f>
        <v/>
      </c>
      <c r="G109" s="60">
        <f>G108+D109</f>
        <v/>
      </c>
      <c r="H109" s="34" t="inlineStr">
        <is>
          <t>资产端分期延续至 16M</t>
        </is>
      </c>
    </row>
    <row r="110">
      <c r="A110" s="24" t="inlineStr">
        <is>
          <t>58M</t>
        </is>
      </c>
      <c r="B110" s="30" t="n">
        <v>4.833333333333333</v>
      </c>
      <c r="C110" s="27">
        <f>SUMIF('①数据源'!$C$4:$C$27,"资产",'②期限分布'!BH$4:BH$27)</f>
        <v/>
      </c>
      <c r="D110" s="60">
        <f>SUMIF('①数据源'!$C$4:$C$27,"负债",'②期限分布'!BH$4:BH$27)</f>
        <v/>
      </c>
      <c r="E110" s="27">
        <f>C110-D110</f>
        <v/>
      </c>
      <c r="F110" s="27">
        <f>F109+C110</f>
        <v/>
      </c>
      <c r="G110" s="60">
        <f>G109+D110</f>
        <v/>
      </c>
      <c r="H110" s="34" t="inlineStr">
        <is>
          <t>资产端分期延续至 16M</t>
        </is>
      </c>
    </row>
    <row r="111">
      <c r="A111" s="24" t="inlineStr">
        <is>
          <t>59M</t>
        </is>
      </c>
      <c r="B111" s="30" t="n">
        <v>4.916666666666667</v>
      </c>
      <c r="C111" s="27">
        <f>SUMIF('①数据源'!$C$4:$C$27,"资产",'②期限分布'!BI$4:BI$27)</f>
        <v/>
      </c>
      <c r="D111" s="60">
        <f>SUMIF('①数据源'!$C$4:$C$27,"负债",'②期限分布'!BI$4:BI$27)</f>
        <v/>
      </c>
      <c r="E111" s="27">
        <f>C111-D111</f>
        <v/>
      </c>
      <c r="F111" s="27">
        <f>F110+C111</f>
        <v/>
      </c>
      <c r="G111" s="60">
        <f>G110+D111</f>
        <v/>
      </c>
      <c r="H111" s="34" t="inlineStr">
        <is>
          <t>资产端分期延续至 16M</t>
        </is>
      </c>
    </row>
    <row r="112">
      <c r="A112" s="24" t="inlineStr">
        <is>
          <t>60M</t>
        </is>
      </c>
      <c r="B112" s="30" t="n">
        <v>5</v>
      </c>
      <c r="C112" s="27">
        <f>SUMIF('①数据源'!$C$4:$C$27,"资产",'②期限分布'!BJ$4:BJ$27)</f>
        <v/>
      </c>
      <c r="D112" s="60">
        <f>SUMIF('①数据源'!$C$4:$C$27,"负债",'②期限分布'!BJ$4:BJ$27)</f>
        <v/>
      </c>
      <c r="E112" s="27">
        <f>C112-D112</f>
        <v/>
      </c>
      <c r="F112" s="27">
        <f>F111+C112</f>
        <v/>
      </c>
      <c r="G112" s="60">
        <f>G111+D112</f>
        <v/>
      </c>
      <c r="H112" s="34" t="inlineStr">
        <is>
          <t>资产端分期延续至 16M</t>
        </is>
      </c>
    </row>
    <row r="113">
      <c r="A113" s="24" t="inlineStr">
        <is>
          <t>10Y</t>
        </is>
      </c>
      <c r="B113" s="30" t="n">
        <v>10</v>
      </c>
      <c r="C113" s="27">
        <f>SUMIF('①数据源'!$C$4:$C$27,"资产",'②期限分布'!BK$4:BK$27)</f>
        <v/>
      </c>
      <c r="D113" s="60">
        <f>SUMIF('①数据源'!$C$4:$C$27,"负债",'②期限分布'!BK$4:BK$27)</f>
        <v/>
      </c>
      <c r="E113" s="27">
        <f>C113-D113</f>
        <v/>
      </c>
      <c r="F113" s="27">
        <f>F112+C113</f>
        <v/>
      </c>
      <c r="G113" s="60">
        <f>G112+D113</f>
        <v/>
      </c>
      <c r="H113" s="34" t="inlineStr">
        <is>
          <t>资产端分期延续至 16M</t>
        </is>
      </c>
    </row>
    <row r="114">
      <c r="A114" s="24" t="inlineStr">
        <is>
          <t>15Y</t>
        </is>
      </c>
      <c r="B114" s="30" t="n">
        <v>15</v>
      </c>
      <c r="C114" s="27">
        <f>SUMIF('①数据源'!$C$4:$C$27,"资产",'②期限分布'!BL$4:BL$27)</f>
        <v/>
      </c>
      <c r="D114" s="60">
        <f>SUMIF('①数据源'!$C$4:$C$27,"负债",'②期限分布'!BL$4:BL$27)</f>
        <v/>
      </c>
      <c r="E114" s="27">
        <f>C114-D114</f>
        <v/>
      </c>
      <c r="F114" s="27">
        <f>F113+C114</f>
        <v/>
      </c>
      <c r="G114" s="60">
        <f>G113+D114</f>
        <v/>
      </c>
      <c r="H114" s="34" t="inlineStr">
        <is>
          <t>资产端分期延续至 16M</t>
        </is>
      </c>
    </row>
    <row r="115">
      <c r="A115" s="24" t="inlineStr">
        <is>
          <t>20Y</t>
        </is>
      </c>
      <c r="B115" s="30" t="n">
        <v>20</v>
      </c>
      <c r="C115" s="27">
        <f>SUMIF('①数据源'!$C$4:$C$27,"资产",'②期限分布'!BM$4:BM$27)</f>
        <v/>
      </c>
      <c r="D115" s="60">
        <f>SUMIF('①数据源'!$C$4:$C$27,"负债",'②期限分布'!BM$4:BM$27)</f>
        <v/>
      </c>
      <c r="E115" s="27">
        <f>C115-D115</f>
        <v/>
      </c>
      <c r="F115" s="27">
        <f>F114+C115</f>
        <v/>
      </c>
      <c r="G115" s="60">
        <f>G114+D115</f>
        <v/>
      </c>
      <c r="H115" s="34" t="inlineStr">
        <is>
          <t>资产端分期延续至 16M</t>
        </is>
      </c>
    </row>
    <row r="116">
      <c r="A116" s="24" t="inlineStr">
        <is>
          <t>30Y</t>
        </is>
      </c>
      <c r="B116" s="30" t="n">
        <v>30</v>
      </c>
      <c r="C116" s="27">
        <f>SUMIF('①数据源'!$C$4:$C$27,"资产",'②期限分布'!BN$4:BN$27)</f>
        <v/>
      </c>
      <c r="D116" s="60">
        <f>SUMIF('①数据源'!$C$4:$C$27,"负债",'②期限分布'!BN$4:BN$27)</f>
        <v/>
      </c>
      <c r="E116" s="27">
        <f>C116-D116</f>
        <v/>
      </c>
      <c r="F116" s="27">
        <f>F115+C116</f>
        <v/>
      </c>
      <c r="G116" s="60">
        <f>G115+D116</f>
        <v/>
      </c>
      <c r="H116" s="34" t="inlineStr">
        <is>
          <t>资产端分期延续至 16M</t>
        </is>
      </c>
    </row>
    <row r="117">
      <c r="A117" s="18" t="inlineStr">
        <is>
          <t>合计</t>
        </is>
      </c>
      <c r="B117" s="17" t="n"/>
      <c r="C117" s="19">
        <f>SUM(C53:C116)</f>
        <v/>
      </c>
      <c r="D117" s="19">
        <f>SUM(D53:D116)</f>
        <v/>
      </c>
      <c r="E117" s="19">
        <f>SUM(E53:E116)</f>
        <v/>
      </c>
      <c r="F117" s="19">
        <f>SUM(F53:F116)</f>
        <v/>
      </c>
      <c r="G117" s="19">
        <f>SUM(G53:G116)</f>
        <v/>
      </c>
      <c r="H117" s="22" t="inlineStr">
        <is>
          <t>与当前余额差额 = 未到期续作本金（资产端）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2" customWidth="1" min="4" max="4"/>
    <col width="14" customWidth="1" min="5" max="5"/>
    <col width="12" customWidth="1" min="6" max="6"/>
    <col width="13" customWidth="1" min="7" max="7"/>
    <col width="15" customWidth="1" min="8" max="8"/>
    <col width="40" customWidth="1" min="9" max="9"/>
  </cols>
  <sheetData>
    <row r="1">
      <c r="A1" s="1" t="inlineStr">
        <is>
          <t>⑧ NII 结构拆解 — 业务条线 / 账户类型 双维度</t>
        </is>
      </c>
    </row>
    <row r="2">
      <c r="A2" s="2" t="inlineStr">
        <is>
          <t>全部由 SUMIF 引用「①数据源」，联动更新  |  单位：亿元 / 亿元每年 / %</t>
        </is>
      </c>
    </row>
    <row r="4">
      <c r="A4" s="36" t="inlineStr">
        <is>
          <t>【一】按业务条线拆解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</row>
    <row r="5" ht="34" customHeight="1">
      <c r="A5" s="3" t="inlineStr">
        <is>
          <t>维度</t>
        </is>
      </c>
      <c r="B5" s="3" t="inlineStr">
        <is>
          <t>方向</t>
        </is>
      </c>
      <c r="C5" s="3" t="inlineStr">
        <is>
          <t>当前余额
(亿元)</t>
        </is>
      </c>
      <c r="D5" s="3" t="inlineStr">
        <is>
          <t>余额占比</t>
        </is>
      </c>
      <c r="E5" s="3" t="inlineStr">
        <is>
          <t>年度利息
(亿元/年)</t>
        </is>
      </c>
      <c r="F5" s="3" t="inlineStr">
        <is>
          <t>利息占比</t>
        </is>
      </c>
      <c r="G5" s="3" t="inlineStr">
        <is>
          <t>综合利率</t>
        </is>
      </c>
      <c r="H5" s="3" t="inlineStr">
        <is>
          <t>重定价敞口
(亿元)</t>
        </is>
      </c>
      <c r="I5" s="3" t="inlineStr">
        <is>
          <t>说明</t>
        </is>
      </c>
    </row>
    <row r="6">
      <c r="A6" s="4" t="inlineStr">
        <is>
          <t>信贷资产</t>
        </is>
      </c>
      <c r="B6" s="4" t="inlineStr">
        <is>
          <t>资产</t>
        </is>
      </c>
      <c r="C6" s="7">
        <f>SUMIF('①数据源'!$D$4:$D$27,"信贷资产",'①数据源'!$F$4:$F$27)</f>
        <v/>
      </c>
      <c r="D6" s="8">
        <f>IF(SUMIF($B$6:$B$14,$B6,$C$6:$C$14)=0,0,C6/SUMIF($B$6:$B$14,$B6,$C$6:$C$14))</f>
        <v/>
      </c>
      <c r="E6" s="7">
        <f>SUMIF('①数据源'!$D$4:$D$27,"信贷资产",'①数据源'!$I$4:$I$27)</f>
        <v/>
      </c>
      <c r="F6" s="8">
        <f>IF(SUMIF($B$6:$B$14,$B6,$E$6:$E$14)=0,0,E6/SUMIF($B$6:$B$14,$B6,$E$6:$E$14))</f>
        <v/>
      </c>
      <c r="G6" s="35">
        <f>IF(C6=0,0,E6/C6)</f>
        <v/>
      </c>
      <c r="H6" s="7">
        <f>SUMIF('①数据源'!$D$4:$D$27,"信贷资产",'①数据源'!$F$4:$F$27,'①数据源'!$L$4:$L$27)</f>
        <v/>
      </c>
      <c r="I6" s="11" t="inlineStr">
        <is>
          <t>16 桶等额分期，1 年内到期约 1/4，重定价滞后于负债端</t>
        </is>
      </c>
    </row>
    <row r="7">
      <c r="A7" s="4" t="inlineStr">
        <is>
          <t>债券投资</t>
        </is>
      </c>
      <c r="B7" s="4" t="inlineStr">
        <is>
          <t>资产</t>
        </is>
      </c>
      <c r="C7" s="7">
        <f>SUMIF('①数据源'!$D$4:$D$27,"债券投资",'①数据源'!$F$4:$F$27)</f>
        <v/>
      </c>
      <c r="D7" s="8">
        <f>IF(SUMIF($B$6:$B$14,$B7,$C$6:$C$14)=0,0,C7/SUMIF($B$6:$B$14,$B7,$C$6:$C$14))</f>
        <v/>
      </c>
      <c r="E7" s="7">
        <f>SUMIF('①数据源'!$D$4:$D$27,"债券投资",'①数据源'!$I$4:$I$27)</f>
        <v/>
      </c>
      <c r="F7" s="8">
        <f>IF(SUMIF($B$6:$B$14,$B7,$E$6:$E$14)=0,0,E7/SUMIF($B$6:$B$14,$B7,$E$6:$E$14))</f>
        <v/>
      </c>
      <c r="G7" s="35">
        <f>IF(C7=0,0,E7/C7)</f>
        <v/>
      </c>
      <c r="H7" s="7">
        <f>SUMIF('①数据源'!$D$4:$D$27,"债券投资",'①数据源'!$F$4:$F$27,'①数据源'!$L$4:$L$27)</f>
        <v/>
      </c>
      <c r="I7" s="11" t="inlineStr">
        <is>
          <t>16 桶分期；到期后按市价重定价，久期较长</t>
        </is>
      </c>
    </row>
    <row r="8">
      <c r="A8" s="4" t="inlineStr">
        <is>
          <t>金融市场</t>
        </is>
      </c>
      <c r="B8" s="4" t="inlineStr">
        <is>
          <t>资产</t>
        </is>
      </c>
      <c r="C8" s="7">
        <f>SUMIF('①数据源'!$D$4:$D$27,"金融市场",'①数据源'!$F$4:$F$27)</f>
        <v/>
      </c>
      <c r="D8" s="8">
        <f>IF(SUMIF($B$6:$B$14,$B8,$C$6:$C$14)=0,0,C8/SUMIF($B$6:$B$14,$B8,$C$6:$C$14))</f>
        <v/>
      </c>
      <c r="E8" s="7">
        <f>SUMIF('①数据源'!$D$4:$D$27,"金融市场",'①数据源'!$I$4:$I$27)</f>
        <v/>
      </c>
      <c r="F8" s="8">
        <f>IF(SUMIF($B$6:$B$14,$B8,$E$6:$E$14)=0,0,E8/SUMIF($B$6:$B$14,$B8,$E$6:$E$14))</f>
        <v/>
      </c>
      <c r="G8" s="35">
        <f>IF(C8=0,0,E8/C8)</f>
        <v/>
      </c>
      <c r="H8" s="7">
        <f>SUMIF('①数据源'!$D$4:$D$27,"金融市场",'①数据源'!$F$4:$F$27,'①数据源'!$L$4:$L$27)</f>
        <v/>
      </c>
      <c r="I8" s="11" t="inlineStr">
        <is>
          <t>同业 / 准备金 / 结构化融资，货币市场驱动，β 较高</t>
        </is>
      </c>
    </row>
    <row r="9">
      <c r="A9" s="4" t="inlineStr">
        <is>
          <t>非生息资产</t>
        </is>
      </c>
      <c r="B9" s="4" t="inlineStr">
        <is>
          <t>资产</t>
        </is>
      </c>
      <c r="C9" s="7">
        <f>SUMIF('①数据源'!$D$4:$D$27,"非生息资产",'①数据源'!$F$4:$F$27)</f>
        <v/>
      </c>
      <c r="D9" s="8">
        <f>IF(SUMIF($B$6:$B$14,$B9,$C$6:$C$14)=0,0,C9/SUMIF($B$6:$B$14,$B9,$C$6:$C$14))</f>
        <v/>
      </c>
      <c r="E9" s="7">
        <f>SUMIF('①数据源'!$D$4:$D$27,"非生息资产",'①数据源'!$I$4:$I$27)</f>
        <v/>
      </c>
      <c r="F9" s="8">
        <f>IF(SUMIF($B$6:$B$14,$B9,$E$6:$E$14)=0,0,E9/SUMIF($B$6:$B$14,$B9,$E$6:$E$14))</f>
        <v/>
      </c>
      <c r="G9" s="35">
        <f>IF(C9=0,0,E9/C9)</f>
        <v/>
      </c>
      <c r="H9" s="7">
        <f>SUMIF('①数据源'!$D$4:$D$27,"非生息资产",'①数据源'!$F$4:$F$27,'①数据源'!$L$4:$L$27)</f>
        <v/>
      </c>
      <c r="I9" s="11" t="inlineStr">
        <is>
          <t>利率 0%，无重定价敞口</t>
        </is>
      </c>
    </row>
    <row r="10">
      <c r="A10" s="4" t="inlineStr">
        <is>
          <t>外币资产</t>
        </is>
      </c>
      <c r="B10" s="4" t="inlineStr">
        <is>
          <t>资产</t>
        </is>
      </c>
      <c r="C10" s="7">
        <f>SUMIF('①数据源'!$D$4:$D$27,"外币资产",'①数据源'!$F$4:$F$27)</f>
        <v/>
      </c>
      <c r="D10" s="8">
        <f>IF(SUMIF($B$6:$B$14,$B10,$C$6:$C$14)=0,0,C10/SUMIF($B$6:$B$14,$B10,$C$6:$C$14))</f>
        <v/>
      </c>
      <c r="E10" s="7">
        <f>SUMIF('①数据源'!$D$4:$D$27,"外币资产",'①数据源'!$I$4:$I$27)</f>
        <v/>
      </c>
      <c r="F10" s="8">
        <f>IF(SUMIF($B$6:$B$14,$B10,$E$6:$E$14)=0,0,E10/SUMIF($B$6:$B$14,$B10,$E$6:$E$14))</f>
        <v/>
      </c>
      <c r="G10" s="35">
        <f>IF(C10=0,0,E10/C10)</f>
        <v/>
      </c>
      <c r="H10" s="7">
        <f>SUMIF('①数据源'!$D$4:$D$27,"外币资产",'①数据源'!$F$4:$F$27,'①数据源'!$L$4:$L$27)</f>
        <v/>
      </c>
      <c r="I10" s="11" t="inlineStr">
        <is>
          <t>折人民币计价，境内利率 + 汇率双重影响</t>
        </is>
      </c>
    </row>
    <row r="11">
      <c r="A11" s="12" t="inlineStr">
        <is>
          <t>活期存款</t>
        </is>
      </c>
      <c r="B11" s="12" t="inlineStr">
        <is>
          <t>负债</t>
        </is>
      </c>
      <c r="C11" s="13">
        <f>SUMIF('①数据源'!$D$4:$D$27,"活期存款",'①数据源'!$F$4:$F$27)</f>
        <v/>
      </c>
      <c r="D11" s="14">
        <f>IF(SUMIF($B$6:$B$14,$B11,$C$6:$C$14)=0,0,C11/SUMIF($B$6:$B$14,$B11,$C$6:$C$14))</f>
        <v/>
      </c>
      <c r="E11" s="13">
        <f>SUMIF('①数据源'!$D$4:$D$27,"活期存款",'①数据源'!$I$4:$I$27)</f>
        <v/>
      </c>
      <c r="F11" s="14">
        <f>IF(SUMIF($B$6:$B$14,$B11,$E$6:$E$14)=0,0,E11/SUMIF($B$6:$B$14,$B11,$E$6:$E$14))</f>
        <v/>
      </c>
      <c r="G11" s="61">
        <f>IF(C11=0,0,E11/C11)</f>
        <v/>
      </c>
      <c r="H11" s="13">
        <f>SUMIF('①数据源'!$D$4:$D$27,"活期存款",'①数据源'!$F$4:$F$27,'①数据源'!$L$4:$L$27)</f>
        <v/>
      </c>
      <c r="I11" s="16" t="inlineStr">
        <is>
          <t>3 桶（3 个月内）结构，1 年内基本全部到期，β = 1</t>
        </is>
      </c>
    </row>
    <row r="12">
      <c r="A12" s="12" t="inlineStr">
        <is>
          <t>定期存款</t>
        </is>
      </c>
      <c r="B12" s="12" t="inlineStr">
        <is>
          <t>负债</t>
        </is>
      </c>
      <c r="C12" s="13">
        <f>SUMIF('①数据源'!$D$4:$D$27,"定期存款",'①数据源'!$F$4:$F$27)</f>
        <v/>
      </c>
      <c r="D12" s="14">
        <f>IF(SUMIF($B$6:$B$14,$B12,$C$6:$C$14)=0,0,C12/SUMIF($B$6:$B$14,$B12,$C$6:$C$14))</f>
        <v/>
      </c>
      <c r="E12" s="13">
        <f>SUMIF('①数据源'!$D$4:$D$27,"定期存款",'①数据源'!$I$4:$I$27)</f>
        <v/>
      </c>
      <c r="F12" s="14">
        <f>IF(SUMIF($B$6:$B$14,$B12,$E$6:$E$14)=0,0,E12/SUMIF($B$6:$B$14,$B12,$E$6:$E$14))</f>
        <v/>
      </c>
      <c r="G12" s="61">
        <f>IF(C12=0,0,E12/C12)</f>
        <v/>
      </c>
      <c r="H12" s="13">
        <f>SUMIF('①数据源'!$D$4:$D$27,"定期存款",'①数据源'!$F$4:$F$27,'①数据源'!$L$4:$L$27)</f>
        <v/>
      </c>
      <c r="I12" s="16" t="inlineStr">
        <is>
          <t>12 桶（12 个月内）结构，到期可续作定价</t>
        </is>
      </c>
    </row>
    <row r="13">
      <c r="A13" s="12" t="inlineStr">
        <is>
          <t>市场化负债</t>
        </is>
      </c>
      <c r="B13" s="12" t="inlineStr">
        <is>
          <t>负债</t>
        </is>
      </c>
      <c r="C13" s="13">
        <f>SUMIF('①数据源'!$D$4:$D$27,"市场化负债",'①数据源'!$F$4:$F$27)</f>
        <v/>
      </c>
      <c r="D13" s="14">
        <f>IF(SUMIF($B$6:$B$14,$B13,$C$6:$C$14)=0,0,C13/SUMIF($B$6:$B$14,$B13,$C$6:$C$14))</f>
        <v/>
      </c>
      <c r="E13" s="13">
        <f>SUMIF('①数据源'!$D$4:$D$27,"市场化负债",'①数据源'!$I$4:$I$27)</f>
        <v/>
      </c>
      <c r="F13" s="14">
        <f>IF(SUMIF($B$6:$B$14,$B13,$E$6:$E$14)=0,0,E13/SUMIF($B$6:$B$14,$B13,$E$6:$E$14))</f>
        <v/>
      </c>
      <c r="G13" s="61">
        <f>IF(C13=0,0,E13/C13)</f>
        <v/>
      </c>
      <c r="H13" s="13">
        <f>SUMIF('①数据源'!$D$4:$D$27,"市场化负债",'①数据源'!$F$4:$F$27,'①数据源'!$L$4:$L$27)</f>
        <v/>
      </c>
      <c r="I13" s="16" t="inlineStr">
        <is>
          <t>12 桶货币市场工具，β 接近 1</t>
        </is>
      </c>
    </row>
    <row r="14">
      <c r="A14" s="12" t="inlineStr">
        <is>
          <t>外币负债</t>
        </is>
      </c>
      <c r="B14" s="12" t="inlineStr">
        <is>
          <t>负债</t>
        </is>
      </c>
      <c r="C14" s="13">
        <f>SUMIF('①数据源'!$D$4:$D$27,"外币负债",'①数据源'!$F$4:$F$27)</f>
        <v/>
      </c>
      <c r="D14" s="14">
        <f>IF(SUMIF($B$6:$B$14,$B14,$C$6:$C$14)=0,0,C14/SUMIF($B$6:$B$14,$B14,$C$6:$C$14))</f>
        <v/>
      </c>
      <c r="E14" s="13">
        <f>SUMIF('①数据源'!$D$4:$D$27,"外币负债",'①数据源'!$I$4:$I$27)</f>
        <v/>
      </c>
      <c r="F14" s="14">
        <f>IF(SUMIF($B$6:$B$14,$B14,$E$6:$E$14)=0,0,E14/SUMIF($B$6:$B$14,$B14,$E$6:$E$14))</f>
        <v/>
      </c>
      <c r="G14" s="61">
        <f>IF(C14=0,0,E14/C14)</f>
        <v/>
      </c>
      <c r="H14" s="13">
        <f>SUMIF('①数据源'!$D$4:$D$27,"外币负债",'①数据源'!$F$4:$F$27,'①数据源'!$L$4:$L$27)</f>
        <v/>
      </c>
      <c r="I14" s="16" t="inlineStr">
        <is>
          <t>折人民币负债，境内外利差影响</t>
        </is>
      </c>
    </row>
    <row r="16">
      <c r="A16" s="36" t="inlineStr">
        <is>
          <t>【二】按账户类型拆解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</row>
    <row r="17" ht="34" customHeight="1">
      <c r="A17" s="3" t="inlineStr">
        <is>
          <t>维度</t>
        </is>
      </c>
      <c r="B17" s="3" t="inlineStr">
        <is>
          <t>方向</t>
        </is>
      </c>
      <c r="C17" s="3" t="inlineStr">
        <is>
          <t>当前余额
(亿元)</t>
        </is>
      </c>
      <c r="D17" s="3" t="inlineStr">
        <is>
          <t>余额占比</t>
        </is>
      </c>
      <c r="E17" s="3" t="inlineStr">
        <is>
          <t>年度利息
(亿元/年)</t>
        </is>
      </c>
      <c r="F17" s="3" t="inlineStr">
        <is>
          <t>利息占比</t>
        </is>
      </c>
      <c r="G17" s="3" t="inlineStr">
        <is>
          <t>综合利率</t>
        </is>
      </c>
      <c r="H17" s="3" t="inlineStr">
        <is>
          <t>重定价敞口
(亿元)</t>
        </is>
      </c>
      <c r="I17" s="3" t="inlineStr">
        <is>
          <t>说明</t>
        </is>
      </c>
    </row>
    <row r="18">
      <c r="A18" s="4" t="inlineStr">
        <is>
          <t>信贷</t>
        </is>
      </c>
      <c r="B18" s="4" t="inlineStr">
        <is>
          <t>资产</t>
        </is>
      </c>
      <c r="C18" s="7">
        <f>SUMIF('①数据源'!$D$4:$D$27,"信贷",'①数据源'!$F$4:$F$27)</f>
        <v/>
      </c>
      <c r="D18" s="8">
        <f>IF(SUMIF($B$18:$B$25,$B18,$C$18:$C$25)=0,0,C18/SUMIF($B$18:$B$25,$B18,$C$18:$C$25))</f>
        <v/>
      </c>
      <c r="E18" s="7">
        <f>SUMIF('①数据源'!$D$4:$D$27,"信贷",'①数据源'!$I$4:$I$27)</f>
        <v/>
      </c>
      <c r="F18" s="8">
        <f>IF(SUMIF($B$18:$B$25,$B18,$E$18:$E$25)=0,0,E18/SUMIF($B$18:$B$25,$B18,$E$18:$E$25))</f>
        <v/>
      </c>
      <c r="G18" s="35">
        <f>IF(C18=0,0,E18/C18)</f>
        <v/>
      </c>
      <c r="H18" s="7">
        <f>SUMIF('①数据源'!$D$4:$D$27,"信贷",'①数据源'!$F$4:$F$27,'①数据源'!$L$4:$L$27)</f>
        <v/>
      </c>
      <c r="I18" s="11" t="inlineStr">
        <is>
          <t>贷款类，余额最大，信用卡 12% 拉高综合利率</t>
        </is>
      </c>
    </row>
    <row r="19">
      <c r="A19" s="4" t="inlineStr">
        <is>
          <t>投资</t>
        </is>
      </c>
      <c r="B19" s="4" t="inlineStr">
        <is>
          <t>资产</t>
        </is>
      </c>
      <c r="C19" s="7">
        <f>SUMIF('①数据源'!$D$4:$D$27,"投资",'①数据源'!$F$4:$F$27)</f>
        <v/>
      </c>
      <c r="D19" s="8">
        <f>IF(SUMIF($B$18:$B$25,$B19,$C$18:$C$25)=0,0,C19/SUMIF($B$18:$B$25,$B19,$C$18:$C$25))</f>
        <v/>
      </c>
      <c r="E19" s="7">
        <f>SUMIF('①数据源'!$D$4:$D$27,"投资",'①数据源'!$I$4:$I$27)</f>
        <v/>
      </c>
      <c r="F19" s="8">
        <f>IF(SUMIF($B$18:$B$25,$B19,$E$18:$E$25)=0,0,E19/SUMIF($B$18:$B$25,$B19,$E$18:$E$25))</f>
        <v/>
      </c>
      <c r="G19" s="35">
        <f>IF(C19=0,0,E19/C19)</f>
        <v/>
      </c>
      <c r="H19" s="7">
        <f>SUMIF('①数据源'!$D$4:$D$27,"投资",'①数据源'!$F$4:$F$27,'①数据源'!$L$4:$L$27)</f>
        <v/>
      </c>
      <c r="I19" s="11" t="inlineStr">
        <is>
          <t>金市 + 司库债券，票息 2.55~2.85%</t>
        </is>
      </c>
    </row>
    <row r="20">
      <c r="A20" s="4" t="inlineStr">
        <is>
          <t>金融</t>
        </is>
      </c>
      <c r="B20" s="4" t="inlineStr">
        <is>
          <t>资产</t>
        </is>
      </c>
      <c r="C20" s="7">
        <f>SUMIF('①数据源'!$D$4:$D$27,"金融",'①数据源'!$F$4:$F$27)</f>
        <v/>
      </c>
      <c r="D20" s="8">
        <f>IF(SUMIF($B$18:$B$25,$B20,$C$18:$C$25)=0,0,C20/SUMIF($B$18:$B$25,$B20,$C$18:$C$25))</f>
        <v/>
      </c>
      <c r="E20" s="7">
        <f>SUMIF('①数据源'!$D$4:$D$27,"金融",'①数据源'!$I$4:$I$27)</f>
        <v/>
      </c>
      <c r="F20" s="8">
        <f>IF(SUMIF($B$18:$B$25,$B20,$E$18:$E$25)=0,0,E20/SUMIF($B$18:$B$25,$B20,$E$18:$E$25))</f>
        <v/>
      </c>
      <c r="G20" s="35">
        <f>IF(C20=0,0,E20/C20)</f>
        <v/>
      </c>
      <c r="H20" s="7">
        <f>SUMIF('①数据源'!$D$4:$D$27,"金融",'①数据源'!$F$4:$F$27,'①数据源'!$L$4:$L$27)</f>
        <v/>
      </c>
      <c r="I20" s="11" t="inlineStr">
        <is>
          <t>同业资产 / 准备金 / 结构化融资</t>
        </is>
      </c>
    </row>
    <row r="21">
      <c r="A21" s="4" t="inlineStr">
        <is>
          <t>非息</t>
        </is>
      </c>
      <c r="B21" s="4" t="inlineStr">
        <is>
          <t>资产</t>
        </is>
      </c>
      <c r="C21" s="7">
        <f>SUMIF('①数据源'!$D$4:$D$27,"非息",'①数据源'!$F$4:$F$27)</f>
        <v/>
      </c>
      <c r="D21" s="8">
        <f>IF(SUMIF($B$18:$B$25,$B21,$C$18:$C$25)=0,0,C21/SUMIF($B$18:$B$25,$B21,$C$18:$C$25))</f>
        <v/>
      </c>
      <c r="E21" s="7">
        <f>SUMIF('①数据源'!$D$4:$D$27,"非息",'①数据源'!$I$4:$I$27)</f>
        <v/>
      </c>
      <c r="F21" s="8">
        <f>IF(SUMIF($B$18:$B$25,$B21,$E$18:$E$25)=0,0,E21/SUMIF($B$18:$B$25,$B21,$E$18:$E$25))</f>
        <v/>
      </c>
      <c r="G21" s="35">
        <f>IF(C21=0,0,E21/C21)</f>
        <v/>
      </c>
      <c r="H21" s="7">
        <f>SUMIF('①数据源'!$D$4:$D$27,"非息",'①数据源'!$F$4:$F$27,'①数据源'!$L$4:$L$27)</f>
        <v/>
      </c>
      <c r="I21" s="11" t="inlineStr">
        <is>
          <t>非生息资产，利率 0%</t>
        </is>
      </c>
    </row>
    <row r="22">
      <c r="A22" s="4" t="inlineStr">
        <is>
          <t>外币</t>
        </is>
      </c>
      <c r="B22" s="4" t="inlineStr">
        <is>
          <t>资产</t>
        </is>
      </c>
      <c r="C22" s="7">
        <f>SUMIF('①数据源'!$D$4:$D$27,"外币",'①数据源'!$F$4:$F$27)</f>
        <v/>
      </c>
      <c r="D22" s="8">
        <f>IF(SUMIF($B$18:$B$25,$B22,$C$18:$C$25)=0,0,C22/SUMIF($B$18:$B$25,$B22,$C$18:$C$25))</f>
        <v/>
      </c>
      <c r="E22" s="7">
        <f>SUMIF('①数据源'!$D$4:$D$27,"外币",'①数据源'!$I$4:$I$27)</f>
        <v/>
      </c>
      <c r="F22" s="8">
        <f>IF(SUMIF($B$18:$B$25,$B22,$E$18:$E$25)=0,0,E22/SUMIF($B$18:$B$25,$B22,$E$18:$E$25))</f>
        <v/>
      </c>
      <c r="G22" s="35">
        <f>IF(C22=0,0,E22/C22)</f>
        <v/>
      </c>
      <c r="H22" s="7">
        <f>SUMIF('①数据源'!$D$4:$D$27,"外币",'①数据源'!$F$4:$F$27,'①数据源'!$L$4:$L$27)</f>
        <v/>
      </c>
      <c r="I22" s="11" t="inlineStr">
        <is>
          <t>外币资产（折人民币）</t>
        </is>
      </c>
    </row>
    <row r="23">
      <c r="A23" s="12" t="inlineStr">
        <is>
          <t>活期</t>
        </is>
      </c>
      <c r="B23" s="12" t="inlineStr">
        <is>
          <t>负债</t>
        </is>
      </c>
      <c r="C23" s="13">
        <f>SUMIF('①数据源'!$D$4:$D$27,"活期",'①数据源'!$F$4:$F$27)</f>
        <v/>
      </c>
      <c r="D23" s="14">
        <f>IF(SUMIF($B$18:$B$25,$B23,$C$18:$C$25)=0,0,C23/SUMIF($B$18:$B$25,$B23,$C$18:$C$25))</f>
        <v/>
      </c>
      <c r="E23" s="13">
        <f>SUMIF('①数据源'!$D$4:$D$27,"活期",'①数据源'!$I$4:$I$27)</f>
        <v/>
      </c>
      <c r="F23" s="14">
        <f>IF(SUMIF($B$18:$B$25,$B23,$E$18:$E$25)=0,0,E23/SUMIF($B$18:$B$25,$B23,$E$18:$E$25))</f>
        <v/>
      </c>
      <c r="G23" s="61">
        <f>IF(C23=0,0,E23/C23)</f>
        <v/>
      </c>
      <c r="H23" s="13">
        <f>SUMIF('①数据源'!$D$4:$D$27,"活期",'①数据源'!$F$4:$F$27,'①数据源'!$L$4:$L$27)</f>
        <v/>
      </c>
      <c r="I23" s="16" t="inlineStr">
        <is>
          <t>3 桶结构，1 年内全部到期，β = 1</t>
        </is>
      </c>
    </row>
    <row r="24">
      <c r="A24" s="12" t="inlineStr">
        <is>
          <t>定期</t>
        </is>
      </c>
      <c r="B24" s="12" t="inlineStr">
        <is>
          <t>负债</t>
        </is>
      </c>
      <c r="C24" s="13">
        <f>SUMIF('①数据源'!$D$4:$D$27,"定期",'①数据源'!$F$4:$F$27)</f>
        <v/>
      </c>
      <c r="D24" s="14">
        <f>IF(SUMIF($B$18:$B$25,$B24,$C$18:$C$25)=0,0,C24/SUMIF($B$18:$B$25,$B24,$C$18:$C$25))</f>
        <v/>
      </c>
      <c r="E24" s="13">
        <f>SUMIF('①数据源'!$D$4:$D$27,"定期",'①数据源'!$I$4:$I$27)</f>
        <v/>
      </c>
      <c r="F24" s="14">
        <f>IF(SUMIF($B$18:$B$25,$B24,$E$18:$E$25)=0,0,E24/SUMIF($B$18:$B$25,$B24,$E$18:$E$25))</f>
        <v/>
      </c>
      <c r="G24" s="61">
        <f>IF(C24=0,0,E24/C24)</f>
        <v/>
      </c>
      <c r="H24" s="13">
        <f>SUMIF('①数据源'!$D$4:$D$27,"定期",'①数据源'!$F$4:$F$27,'①数据源'!$L$4:$L$27)</f>
        <v/>
      </c>
      <c r="I24" s="16" t="inlineStr">
        <is>
          <t>12 桶结构，到期可续作</t>
        </is>
      </c>
    </row>
    <row r="25">
      <c r="A25" s="12" t="inlineStr">
        <is>
          <t>同业</t>
        </is>
      </c>
      <c r="B25" s="12" t="inlineStr">
        <is>
          <t>负债</t>
        </is>
      </c>
      <c r="C25" s="13">
        <f>SUMIF('①数据源'!$D$4:$D$27,"同业",'①数据源'!$F$4:$F$27)</f>
        <v/>
      </c>
      <c r="D25" s="14">
        <f>IF(SUMIF($B$18:$B$25,$B25,$C$18:$C$25)=0,0,C25/SUMIF($B$18:$B$25,$B25,$C$18:$C$25))</f>
        <v/>
      </c>
      <c r="E25" s="13">
        <f>SUMIF('①数据源'!$D$4:$D$27,"同业",'①数据源'!$I$4:$I$27)</f>
        <v/>
      </c>
      <c r="F25" s="14">
        <f>IF(SUMIF($B$18:$B$25,$B25,$E$18:$E$25)=0,0,E25/SUMIF($B$18:$B$25,$B25,$E$18:$E$25))</f>
        <v/>
      </c>
      <c r="G25" s="61">
        <f>IF(C25=0,0,E25/C25)</f>
        <v/>
      </c>
      <c r="H25" s="13">
        <f>SUMIF('①数据源'!$D$4:$D$27,"同业",'①数据源'!$F$4:$F$27,'①数据源'!$L$4:$L$27)</f>
        <v/>
      </c>
      <c r="I25" s="16" t="inlineStr">
        <is>
          <t>人民币市场化负债，货币市场工具</t>
        </is>
      </c>
    </row>
    <row r="27">
      <c r="A27" s="36" t="inlineStr">
        <is>
          <t>【三】NII 贡献分解与校验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</row>
    <row r="28">
      <c r="A28" s="24" t="inlineStr">
        <is>
          <t>资产端年度利息合计</t>
        </is>
      </c>
      <c r="B28" s="62">
        <f>SUM(E6:E10)</f>
        <v/>
      </c>
      <c r="C28" s="42" t="n"/>
      <c r="D28" s="34" t="inlineStr">
        <is>
          <t>亿元/年</t>
        </is>
      </c>
      <c r="E28" s="42" t="n"/>
      <c r="F28" s="42" t="n"/>
      <c r="G28" s="42" t="n"/>
      <c r="H28" s="42" t="n"/>
      <c r="I28" s="34" t="inlineStr">
        <is>
          <t>信贷 + 投资 + 金融 + 非息 + 外币</t>
        </is>
      </c>
    </row>
    <row r="29">
      <c r="A29" s="24" t="inlineStr">
        <is>
          <t>负债端年度利息合计</t>
        </is>
      </c>
      <c r="B29" s="62">
        <f>SUM(E11:E14)</f>
        <v/>
      </c>
      <c r="C29" s="42" t="n"/>
      <c r="D29" s="34" t="inlineStr">
        <is>
          <t>亿元/年</t>
        </is>
      </c>
      <c r="E29" s="42" t="n"/>
      <c r="F29" s="42" t="n"/>
      <c r="G29" s="42" t="n"/>
      <c r="H29" s="42" t="n"/>
      <c r="I29" s="34" t="inlineStr">
        <is>
          <t>活期 + 定期 + 市场化 + 外币</t>
        </is>
      </c>
    </row>
    <row r="30">
      <c r="A30" s="43" t="inlineStr">
        <is>
          <t>★ NII（条线加总）</t>
        </is>
      </c>
      <c r="B30" s="44">
        <f>B28-B29</f>
        <v/>
      </c>
      <c r="C30" s="45" t="n"/>
      <c r="D30" s="49" t="inlineStr">
        <is>
          <t>亿元/年</t>
        </is>
      </c>
      <c r="E30" s="45" t="n"/>
      <c r="F30" s="45" t="n"/>
      <c r="G30" s="45" t="n"/>
      <c r="H30" s="45" t="n"/>
      <c r="I30" s="49">
        <f> 资产端 − 负债端</f>
        <v/>
      </c>
    </row>
    <row r="31">
      <c r="A31" s="24" t="inlineStr">
        <is>
          <t>对照：⑥NII计量表 NII</t>
        </is>
      </c>
      <c r="B31" s="27">
        <f>'⑥NII计量表'!B20</f>
        <v/>
      </c>
      <c r="C31" s="42" t="n"/>
      <c r="D31" s="34" t="inlineStr">
        <is>
          <t>亿元/年</t>
        </is>
      </c>
      <c r="E31" s="42" t="n"/>
      <c r="F31" s="42" t="n"/>
      <c r="G31" s="42" t="n"/>
      <c r="H31" s="42" t="n"/>
      <c r="I31" s="34" t="inlineStr">
        <is>
          <t>交叉验证</t>
        </is>
      </c>
    </row>
    <row r="32">
      <c r="A32" s="18" t="inlineStr">
        <is>
          <t>校验差额（应为 0）</t>
        </is>
      </c>
      <c r="B32" s="19">
        <f>B30-B31</f>
        <v/>
      </c>
      <c r="C32" s="17" t="n"/>
      <c r="D32" s="22" t="inlineStr">
        <is>
          <t>亿元/年</t>
        </is>
      </c>
      <c r="E32" s="17" t="n"/>
      <c r="F32" s="17" t="n"/>
      <c r="G32" s="17" t="n"/>
      <c r="H32" s="17" t="n"/>
      <c r="I32" s="22" t="inlineStr">
        <is>
          <t>条线维度与总表完全勾稽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7" customWidth="1" min="3" max="3"/>
    <col width="17" customWidth="1" min="4" max="4"/>
    <col width="15" customWidth="1" min="5" max="5"/>
    <col width="17" customWidth="1" min="6" max="6"/>
    <col width="12" customWidth="1" min="7" max="7"/>
    <col width="13" customWidth="1" min="8" max="8"/>
    <col width="42" customWidth="1" min="9" max="9"/>
  </cols>
  <sheetData>
    <row r="1">
      <c r="A1" s="1" t="inlineStr">
        <is>
          <t>⑨ NII 情景敏感性分析 — 利率平行移动冲击</t>
        </is>
      </c>
    </row>
    <row r="2">
      <c r="A2" s="2" t="inlineStr">
        <is>
          <t>ΔNII = −Δr × (A_β − L_β)  |  敞口 ←「⑦期限结构与重定价」，NII ←「⑥NII计量表」</t>
        </is>
      </c>
    </row>
    <row r="4">
      <c r="A4" s="36" t="inlineStr">
        <is>
          <t>【一】利率平行移动情景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</row>
    <row r="5" ht="34" customHeight="1">
      <c r="A5" s="3" t="inlineStr">
        <is>
          <t>情景</t>
        </is>
      </c>
      <c r="B5" s="3" t="inlineStr">
        <is>
          <t>Δr (bp)</t>
        </is>
      </c>
      <c r="C5" s="3" t="inlineStr">
        <is>
          <t>Δ利息收入
(亿元/年)</t>
        </is>
      </c>
      <c r="D5" s="3" t="inlineStr">
        <is>
          <t>Δ利息支出
(亿元/年)</t>
        </is>
      </c>
      <c r="E5" s="3" t="inlineStr">
        <is>
          <t>ΔNII
(亿元/年)</t>
        </is>
      </c>
      <c r="F5" s="3" t="inlineStr">
        <is>
          <t>情景后 NII
(亿元/年)</t>
        </is>
      </c>
      <c r="G5" s="3" t="inlineStr">
        <is>
          <t>ΔNII %</t>
        </is>
      </c>
      <c r="H5" s="3" t="inlineStr">
        <is>
          <t>情景后 NIM</t>
        </is>
      </c>
      <c r="I5" s="3" t="inlineStr">
        <is>
          <t>情景解读</t>
        </is>
      </c>
    </row>
    <row r="6">
      <c r="A6" s="24" t="inlineStr">
        <is>
          <t>利率平行上移 250bp</t>
        </is>
      </c>
      <c r="B6" s="63" t="n">
        <v>250</v>
      </c>
      <c r="C6" s="27">
        <f>-$B$6/10000*'⑦期限结构与重定价'!$E$30</f>
        <v/>
      </c>
      <c r="D6" s="60">
        <f>-$B$6/10000*'⑦期限结构与重定价'!$E$31</f>
        <v/>
      </c>
      <c r="E6" s="27">
        <f>C6-D6</f>
        <v/>
      </c>
      <c r="F6" s="27">
        <f>'⑥NII计量表'!$B$20+E6</f>
        <v/>
      </c>
      <c r="G6" s="28">
        <f>IF('⑥NII计量表'!$B$20=0,0,E6/'⑥NII计量表'!$B$20)</f>
        <v/>
      </c>
      <c r="H6" s="46">
        <f>IF('⑥NII计量表'!$B$5=0,0,F6/'⑥NII计量表'!$B$5)</f>
        <v/>
      </c>
      <c r="I6" s="34" t="inlineStr">
        <is>
          <t>大幅加息：资产端分期重定价滞后，NII 承压</t>
        </is>
      </c>
    </row>
    <row r="7">
      <c r="A7" s="24" t="inlineStr">
        <is>
          <t>利率平行上移 100bp</t>
        </is>
      </c>
      <c r="B7" s="63" t="n">
        <v>100</v>
      </c>
      <c r="C7" s="27">
        <f>-$B$7/10000*'⑦期限结构与重定价'!$E$30</f>
        <v/>
      </c>
      <c r="D7" s="60">
        <f>-$B$7/10000*'⑦期限结构与重定价'!$E$31</f>
        <v/>
      </c>
      <c r="E7" s="27">
        <f>C7-D7</f>
        <v/>
      </c>
      <c r="F7" s="27">
        <f>'⑥NII计量表'!$B$20+E7</f>
        <v/>
      </c>
      <c r="G7" s="28">
        <f>IF('⑥NII计量表'!$B$20=0,0,E7/'⑥NII计量表'!$B$20)</f>
        <v/>
      </c>
      <c r="H7" s="46">
        <f>IF('⑥NII计量表'!$B$5=0,0,F7/'⑥NII计量表'!$B$5)</f>
        <v/>
      </c>
      <c r="I7" s="34" t="inlineStr">
        <is>
          <t>常规加息周期：重定价缺口决定 NII 方向</t>
        </is>
      </c>
    </row>
    <row r="8">
      <c r="A8" s="24" t="inlineStr">
        <is>
          <t>利率平行上移 50bp</t>
        </is>
      </c>
      <c r="B8" s="63" t="n">
        <v>50</v>
      </c>
      <c r="C8" s="27">
        <f>-$B$8/10000*'⑦期限结构与重定价'!$E$30</f>
        <v/>
      </c>
      <c r="D8" s="60">
        <f>-$B$8/10000*'⑦期限结构与重定价'!$E$31</f>
        <v/>
      </c>
      <c r="E8" s="27">
        <f>C8-D8</f>
        <v/>
      </c>
      <c r="F8" s="27">
        <f>'⑥NII计量表'!$B$20+E8</f>
        <v/>
      </c>
      <c r="G8" s="28">
        <f>IF('⑥NII计量表'!$B$20=0,0,E8/'⑥NII计量表'!$B$20)</f>
        <v/>
      </c>
      <c r="H8" s="46">
        <f>IF('⑥NII计量表'!$B$5=0,0,F8/'⑥NII计量表'!$B$5)</f>
        <v/>
      </c>
      <c r="I8" s="34" t="inlineStr">
        <is>
          <t>温和加息：关注 NIM 是否跌破 1.50% 参考线</t>
        </is>
      </c>
    </row>
    <row r="9">
      <c r="A9" s="24" t="inlineStr">
        <is>
          <t>基准情景（利率不变）</t>
        </is>
      </c>
      <c r="B9" s="63" t="n">
        <v>0</v>
      </c>
      <c r="C9" s="27">
        <f>-$B$9/10000*'⑦期限结构与重定价'!$E$30</f>
        <v/>
      </c>
      <c r="D9" s="60">
        <f>-$B$9/10000*'⑦期限结构与重定价'!$E$31</f>
        <v/>
      </c>
      <c r="E9" s="27">
        <f>C9-D9</f>
        <v/>
      </c>
      <c r="F9" s="27">
        <f>'⑥NII计量表'!$B$20+E9</f>
        <v/>
      </c>
      <c r="G9" s="28">
        <f>IF('⑥NII计量表'!$B$20=0,0,E9/'⑥NII计量表'!$B$20)</f>
        <v/>
      </c>
      <c r="H9" s="46">
        <f>IF('⑥NII计量表'!$B$5=0,0,F9/'⑥NII计量表'!$B$5)</f>
        <v/>
      </c>
      <c r="I9" s="34" t="inlineStr">
        <is>
          <t>基准：ΔNII = 0，NII = 计量表主口径</t>
        </is>
      </c>
    </row>
    <row r="10">
      <c r="A10" s="24" t="inlineStr">
        <is>
          <t>利率平行下移 50bp</t>
        </is>
      </c>
      <c r="B10" s="63" t="n">
        <v>-50</v>
      </c>
      <c r="C10" s="27">
        <f>-$B$10/10000*'⑦期限结构与重定价'!$E$30</f>
        <v/>
      </c>
      <c r="D10" s="60">
        <f>-$B$10/10000*'⑦期限结构与重定价'!$E$31</f>
        <v/>
      </c>
      <c r="E10" s="27">
        <f>C10-D10</f>
        <v/>
      </c>
      <c r="F10" s="27">
        <f>'⑥NII计量表'!$B$20+E10</f>
        <v/>
      </c>
      <c r="G10" s="28">
        <f>IF('⑥NII计量表'!$B$20=0,0,E10/'⑥NII计量表'!$B$20)</f>
        <v/>
      </c>
      <c r="H10" s="46">
        <f>IF('⑥NII计量表'!$B$5=0,0,F10/'⑥NII计量表'!$B$5)</f>
        <v/>
      </c>
      <c r="I10" s="34" t="inlineStr">
        <is>
          <t>温和降息：负债端成本下行，NII 受益</t>
        </is>
      </c>
    </row>
    <row r="11">
      <c r="A11" s="24" t="inlineStr">
        <is>
          <t>利率平行下移 100bp</t>
        </is>
      </c>
      <c r="B11" s="63" t="n">
        <v>-100</v>
      </c>
      <c r="C11" s="27">
        <f>-$B$11/10000*'⑦期限结构与重定价'!$E$30</f>
        <v/>
      </c>
      <c r="D11" s="60">
        <f>-$B$11/10000*'⑦期限结构与重定价'!$E$31</f>
        <v/>
      </c>
      <c r="E11" s="27">
        <f>C11-D11</f>
        <v/>
      </c>
      <c r="F11" s="27">
        <f>'⑥NII计量表'!$B$20+E11</f>
        <v/>
      </c>
      <c r="G11" s="28">
        <f>IF('⑥NII计量表'!$B$20=0,0,E11/'⑥NII计量表'!$B$20)</f>
        <v/>
      </c>
      <c r="H11" s="46">
        <f>IF('⑥NII计量表'!$B$5=0,0,F11/'⑥NII计量表'!$B$5)</f>
        <v/>
      </c>
      <c r="I11" s="34" t="inlineStr">
        <is>
          <t>降息周期：存款重定价滞后，短期利好 NIM</t>
        </is>
      </c>
    </row>
    <row r="12">
      <c r="A12" s="24" t="inlineStr">
        <is>
          <t>利率平行下移 250bp</t>
        </is>
      </c>
      <c r="B12" s="63" t="n">
        <v>-250</v>
      </c>
      <c r="C12" s="27">
        <f>-$B$12/10000*'⑦期限结构与重定价'!$E$30</f>
        <v/>
      </c>
      <c r="D12" s="60">
        <f>-$B$12/10000*'⑦期限结构与重定价'!$E$31</f>
        <v/>
      </c>
      <c r="E12" s="27">
        <f>C12-D12</f>
        <v/>
      </c>
      <c r="F12" s="27">
        <f>'⑥NII计量表'!$B$20+E12</f>
        <v/>
      </c>
      <c r="G12" s="28">
        <f>IF('⑥NII计量表'!$B$20=0,0,E12/'⑥NII计量表'!$B$20)</f>
        <v/>
      </c>
      <c r="H12" s="46">
        <f>IF('⑥NII计量表'!$B$5=0,0,F12/'⑥NII计量表'!$B$5)</f>
        <v/>
      </c>
      <c r="I12" s="34" t="inlineStr">
        <is>
          <t>大幅降息：贷款重定价滞后，NIM 阶段性走高</t>
        </is>
      </c>
    </row>
    <row r="13">
      <c r="A13" s="18" t="inlineStr">
        <is>
          <t>最不利情景 ΔNII（最小值）</t>
        </is>
      </c>
      <c r="B13" s="17" t="n"/>
      <c r="C13" s="17" t="n"/>
      <c r="D13" s="17" t="n"/>
      <c r="E13" s="19">
        <f>MIN(E6:E12)</f>
        <v/>
      </c>
      <c r="F13" s="19">
        <f>'⑥NII计量表'!$B$20+E13</f>
        <v/>
      </c>
      <c r="G13" s="17" t="n"/>
      <c r="H13" s="20">
        <f>IF('⑥NII计量表'!$B$5=0,0,F13/'⑥NII计量表'!$B$5)</f>
        <v/>
      </c>
      <c r="I13" s="22" t="inlineStr">
        <is>
          <t>各情景中 NII 变动最不利者</t>
        </is>
      </c>
    </row>
    <row r="14">
      <c r="A14" s="18" t="inlineStr">
        <is>
          <t>最有利情景 ΔNII（最大值）</t>
        </is>
      </c>
      <c r="B14" s="17" t="n"/>
      <c r="C14" s="17" t="n"/>
      <c r="D14" s="17" t="n"/>
      <c r="E14" s="19">
        <f>MAX(E6:E12)</f>
        <v/>
      </c>
      <c r="F14" s="19">
        <f>'⑥NII计量表'!$B$20+E14</f>
        <v/>
      </c>
      <c r="G14" s="17" t="n"/>
      <c r="H14" s="20">
        <f>IF('⑥NII计量表'!$B$5=0,0,F14/'⑥NII计量表'!$B$5)</f>
        <v/>
      </c>
      <c r="I14" s="22" t="inlineStr">
        <is>
          <t>各情景中 NII 变动最有利者</t>
        </is>
      </c>
    </row>
    <row r="16">
      <c r="A16" s="36" t="inlineStr">
        <is>
          <t>【二】单边冲击（资产端 / 负债端 分开重定价）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</row>
    <row r="17" ht="34" customHeight="1">
      <c r="A17" s="3" t="inlineStr">
        <is>
          <t>情景</t>
        </is>
      </c>
      <c r="B17" s="3" t="inlineStr">
        <is>
          <t>Δr (bp)</t>
        </is>
      </c>
      <c r="C17" s="3" t="inlineStr">
        <is>
          <t>Δ利息收入
(亿元/年)</t>
        </is>
      </c>
      <c r="D17" s="3" t="inlineStr">
        <is>
          <t>Δ利息支出
(亿元/年)</t>
        </is>
      </c>
      <c r="E17" s="3" t="inlineStr">
        <is>
          <t>ΔNII
(亿元/年)</t>
        </is>
      </c>
      <c r="F17" s="3" t="inlineStr">
        <is>
          <t>情景后 NII
(亿元/年)</t>
        </is>
      </c>
      <c r="G17" s="3" t="inlineStr">
        <is>
          <t>ΔNII %</t>
        </is>
      </c>
      <c r="H17" s="3" t="inlineStr">
        <is>
          <t>情景后 NIM</t>
        </is>
      </c>
      <c r="I17" s="3" t="inlineStr">
        <is>
          <t>情景解读</t>
        </is>
      </c>
    </row>
    <row r="18">
      <c r="A18" s="24" t="inlineStr">
        <is>
          <t>仅负债端全额重定价 +100bp</t>
        </is>
      </c>
      <c r="B18" s="63" t="n">
        <v>100</v>
      </c>
      <c r="C18" s="27">
        <f>-$B$18/10000*'⑦期限结构与重定价'!$E$30*0.0</f>
        <v/>
      </c>
      <c r="D18" s="60">
        <f>-$B$18/10000*'⑦期限结构与重定价'!$E$31*1.0</f>
        <v/>
      </c>
      <c r="E18" s="27">
        <f>C18-D18</f>
        <v/>
      </c>
      <c r="F18" s="27">
        <f>'⑥NII计量表'!$B$20+E18</f>
        <v/>
      </c>
      <c r="G18" s="28">
        <f>IF('⑥NII计量表'!$B$20=0,0,E18/'⑥NII计量表'!$B$20)</f>
        <v/>
      </c>
      <c r="H18" s="46">
        <f>IF('⑥NII计量表'!$B$5=0,0,F18/'⑥NII计量表'!$B$5)</f>
        <v/>
      </c>
      <c r="I18" s="34" t="inlineStr">
        <is>
          <t>极端下限：负债 100% 重定价、资产 0% → NII 损失上限</t>
        </is>
      </c>
    </row>
    <row r="19">
      <c r="A19" s="24" t="inlineStr">
        <is>
          <t>仅资产端全额重定价 +100bp</t>
        </is>
      </c>
      <c r="B19" s="63" t="n">
        <v>100</v>
      </c>
      <c r="C19" s="27">
        <f>-$B$19/10000*'⑦期限结构与重定价'!$E$30*1.0</f>
        <v/>
      </c>
      <c r="D19" s="60">
        <f>-$B$19/10000*'⑦期限结构与重定价'!$E$31*0.0</f>
        <v/>
      </c>
      <c r="E19" s="27">
        <f>C19-D19</f>
        <v/>
      </c>
      <c r="F19" s="27">
        <f>'⑥NII计量表'!$B$20+E19</f>
        <v/>
      </c>
      <c r="G19" s="28">
        <f>IF('⑥NII计量表'!$B$20=0,0,E19/'⑥NII计量表'!$B$20)</f>
        <v/>
      </c>
      <c r="H19" s="46">
        <f>IF('⑥NII计量表'!$B$5=0,0,F19/'⑥NII计量表'!$B$5)</f>
        <v/>
      </c>
      <c r="I19" s="34" t="inlineStr">
        <is>
          <t>极端上限：资产 100% 重定价、负债 0% → NII 改善上限</t>
        </is>
      </c>
    </row>
    <row r="20">
      <c r="A20" s="24" t="inlineStr">
        <is>
          <t>实际重定价（按 β 加权）+100bp</t>
        </is>
      </c>
      <c r="B20" s="63" t="n">
        <v>100</v>
      </c>
      <c r="C20" s="27">
        <f>-$B$20/10000*'⑦期限结构与重定价'!$E$30*1.0</f>
        <v/>
      </c>
      <c r="D20" s="60">
        <f>-$B$20/10000*'⑦期限结构与重定价'!$E$31*1.0</f>
        <v/>
      </c>
      <c r="E20" s="27">
        <f>C20-D20</f>
        <v/>
      </c>
      <c r="F20" s="27">
        <f>'⑥NII计量表'!$B$20+E20</f>
        <v/>
      </c>
      <c r="G20" s="28">
        <f>IF('⑥NII计量表'!$B$20=0,0,E20/'⑥NII计量表'!$B$20)</f>
        <v/>
      </c>
      <c r="H20" s="46">
        <f>IF('⑥NII计量表'!$B$5=0,0,F20/'⑥NII计量表'!$B$5)</f>
        <v/>
      </c>
      <c r="I20" s="34" t="inlineStr">
        <is>
          <t>实际情景：各自按 β 加权（= 上表 +100bp）</t>
        </is>
      </c>
    </row>
    <row r="21">
      <c r="A21" s="24" t="inlineStr">
        <is>
          <t>负债重定价滞后 +100bp</t>
        </is>
      </c>
      <c r="B21" s="63" t="n">
        <v>100</v>
      </c>
      <c r="C21" s="27">
        <f>-$B$21/10000*'⑦期限结构与重定价'!$E$30*1.0</f>
        <v/>
      </c>
      <c r="D21" s="60">
        <f>-$B$21/10000*'⑦期限结构与重定价'!$E$31*0.3</f>
        <v/>
      </c>
      <c r="E21" s="27">
        <f>C21-D21</f>
        <v/>
      </c>
      <c r="F21" s="27">
        <f>'⑥NII计量表'!$B$20+E21</f>
        <v/>
      </c>
      <c r="G21" s="28">
        <f>IF('⑥NII计量表'!$B$20=0,0,E21/'⑥NII计量表'!$B$20)</f>
        <v/>
      </c>
      <c r="H21" s="46">
        <f>IF('⑥NII计量表'!$B$5=0,0,F21/'⑥NII计量表'!$B$5)</f>
        <v/>
      </c>
      <c r="I21" s="34" t="inlineStr">
        <is>
          <t>假设存款久期锁定、有效 β 降至 30%</t>
        </is>
      </c>
    </row>
    <row r="23">
      <c r="A23" s="36" t="inlineStr">
        <is>
          <t>【三】NII 风险敞口判定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</row>
    <row r="24">
      <c r="A24" s="43" t="inlineStr">
        <is>
          <t>加息 100bp 下 NII 变化率（核心敏感度）</t>
        </is>
      </c>
      <c r="B24" s="45" t="n"/>
      <c r="C24" s="64">
        <f>IF('⑥NII计量表'!$B$20=0,0,E7/'⑥NII计量表'!$B$20)</f>
        <v/>
      </c>
      <c r="D24" s="49" t="inlineStr">
        <is>
          <t>亿元/年</t>
        </is>
      </c>
      <c r="E24" s="45" t="n"/>
      <c r="F24" s="45" t="n"/>
      <c r="G24" s="45" t="n"/>
      <c r="H24" s="45" t="n"/>
      <c r="I24" s="49" t="inlineStr">
        <is>
          <t>绝对值越大，利率风险敞口越大</t>
        </is>
      </c>
    </row>
    <row r="25">
      <c r="A25" s="24" t="inlineStr">
        <is>
          <t>加息 100bp 下 NIM 变动（百分点）</t>
        </is>
      </c>
      <c r="B25" s="42" t="n"/>
      <c r="C25" s="46">
        <f>IF('⑥NII计量表'!$B$5=0,0,(H7-'⑥NII计量表'!$B$27))</f>
        <v/>
      </c>
      <c r="D25" s="34" t="inlineStr">
        <is>
          <t>%</t>
        </is>
      </c>
      <c r="E25" s="42" t="n"/>
      <c r="F25" s="42" t="n"/>
      <c r="G25" s="42" t="n"/>
      <c r="H25" s="42" t="n"/>
      <c r="I25" s="34" t="inlineStr">
        <is>
          <t>情景后 NIM − 基准 NIM</t>
        </is>
      </c>
    </row>
    <row r="26">
      <c r="A26" s="24" t="inlineStr">
        <is>
          <t>降息 100bp 下 NIM 变动（百分点）</t>
        </is>
      </c>
      <c r="B26" s="42" t="n"/>
      <c r="C26" s="46">
        <f>IF('⑥NII计量表'!$B$5=0,0,(H11-'⑥NII计量表'!$B$27))</f>
        <v/>
      </c>
      <c r="D26" s="34" t="inlineStr">
        <is>
          <t>%</t>
        </is>
      </c>
      <c r="E26" s="42" t="n"/>
      <c r="F26" s="42" t="n"/>
      <c r="G26" s="42" t="n"/>
      <c r="H26" s="42" t="n"/>
      <c r="I26" s="34" t="inlineStr">
        <is>
          <t>与上式未必等幅，取决于 β 分布</t>
        </is>
      </c>
    </row>
    <row r="27">
      <c r="A27" s="24" t="inlineStr">
        <is>
          <t>NII 波动区间（最有利 − 最不利）</t>
        </is>
      </c>
      <c r="B27" s="42" t="n"/>
      <c r="C27" s="27">
        <f>E14-E13</f>
        <v/>
      </c>
      <c r="D27" s="34" t="inlineStr">
        <is>
          <t>亿元/年</t>
        </is>
      </c>
      <c r="E27" s="42" t="n"/>
      <c r="F27" s="42" t="n"/>
      <c r="G27" s="42" t="n"/>
      <c r="H27" s="42" t="n"/>
      <c r="I27" s="34" t="inlineStr">
        <is>
          <t>7 档情景下 NII 最大波动幅度</t>
        </is>
      </c>
    </row>
    <row r="28">
      <c r="A28" s="24" t="inlineStr">
        <is>
          <t>敞口方向判定</t>
        </is>
      </c>
      <c r="B28" s="42" t="n"/>
      <c r="C28" s="51">
        <f>IF('⑦期限结构与重定价'!$E$32&gt;0,"正缺口：利率上行 NII 受损",IF('⑦期限结构与重定价'!$E$32&lt;0,"负缺口：利率上行 NII 受益","利率中性"))</f>
        <v/>
      </c>
      <c r="D28" s="34" t="inlineStr"/>
      <c r="E28" s="42" t="n"/>
      <c r="F28" s="42" t="n"/>
      <c r="G28" s="42" t="n"/>
      <c r="H28" s="42" t="n"/>
      <c r="I28" s="34" t="inlineStr">
        <is>
          <t>由 RG 符号决定</t>
        </is>
      </c>
    </row>
    <row r="29">
      <c r="A29" s="24" t="inlineStr">
        <is>
          <t>敞口强弱判定</t>
        </is>
      </c>
      <c r="B29" s="42" t="n"/>
      <c r="C29" s="51">
        <f>IF(ABS(E7/'⑥NII计量表'!$B$20)&gt;0.05,"高敏感（&gt;|5%|）",IF(ABS(E7/'⑥NII计量表'!$B$20)&gt;0.02,"中敏感（2~5%）","低敏感（&lt;2%）"))</f>
        <v/>
      </c>
      <c r="D29" s="34" t="inlineStr"/>
      <c r="E29" s="42" t="n"/>
      <c r="F29" s="42" t="n"/>
      <c r="G29" s="42" t="n"/>
      <c r="H29" s="42" t="n"/>
      <c r="I29" s="34" t="inlineStr">
        <is>
          <t>阈值：100bp 冲击下 NII 变动幅度</t>
        </is>
      </c>
    </row>
    <row r="30">
      <c r="A30" s="24" t="inlineStr">
        <is>
          <t>+250bp 情景 NIM 是否跌破 1.50% 下限</t>
        </is>
      </c>
      <c r="B30" s="42" t="n"/>
      <c r="C30" s="51">
        <f>IF(H6&lt;'⑥NII计量表'!$B$49,"跌破 1.50% 下限","未跌破")</f>
        <v/>
      </c>
      <c r="D30" s="34" t="inlineStr"/>
      <c r="E30" s="42" t="n"/>
      <c r="F30" s="42" t="n"/>
      <c r="G30" s="42" t="n"/>
      <c r="H30" s="42" t="n"/>
      <c r="I30" s="34" t="inlineStr">
        <is>
          <t>极端加息情景的监管红线检验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2" customWidth="1" min="3" max="3"/>
  </cols>
  <sheetData>
    <row r="1" ht="24" customHeight="1">
      <c r="A1" s="1" t="inlineStr">
        <is>
          <t>⑩ NII 计量逻辑说明 · 数据来源映射 · prcp 实体对应</t>
        </is>
      </c>
    </row>
    <row r="3">
      <c r="A3" s="36" t="inlineStr">
        <is>
          <t>【一】数据来源（prcp_basic_20251231.xlsx / sheet「基础数据」，方案 8 / 2025-12-31）</t>
        </is>
      </c>
      <c r="B3" s="37" t="n"/>
      <c r="C3" s="37" t="n"/>
    </row>
    <row r="4">
      <c r="A4" s="47" t="inlineStr">
        <is>
          <t>当前余额</t>
        </is>
      </c>
      <c r="B4" s="65" t="inlineStr">
        <is>
          <t>①数据源!F 列 ← 基础数据 EJ 列（列 140），原始单位元，已换算为亿元</t>
        </is>
      </c>
      <c r="C4" s="42" t="n"/>
    </row>
    <row r="5">
      <c r="A5" s="47" t="inlineStr">
        <is>
          <t>加权平均利率</t>
        </is>
      </c>
      <c r="B5" s="65" t="inlineStr">
        <is>
          <t>①数据源!G 列 ← 基础数据 EL 列（列 142），单位 %</t>
        </is>
      </c>
      <c r="C5" s="42" t="n"/>
    </row>
    <row r="6">
      <c r="A6" s="47" t="inlineStr">
        <is>
          <t>月度利息（EM）</t>
        </is>
      </c>
      <c r="B6" s="65" t="inlineStr">
        <is>
          <t>①数据源!H 列 ← 基础数据 EM 列（列 143）= 余额 × 利率 ÷ 100 ÷ 12</t>
        </is>
      </c>
      <c r="C6" s="42" t="n"/>
    </row>
    <row r="7">
      <c r="A7" s="47" t="inlineStr">
        <is>
          <t>年度利息</t>
        </is>
      </c>
      <c r="B7" s="65" t="inlineStr">
        <is>
          <t>①数据源!I 列 = H × 12；已与 余额 × 利率 逐笔核对，偏差为 0</t>
        </is>
      </c>
      <c r="C7" s="42" t="n"/>
    </row>
    <row r="8">
      <c r="A8" s="47" t="inlineStr">
        <is>
          <t>剩余期限分布</t>
        </is>
      </c>
      <c r="B8" s="65" t="inlineStr">
        <is>
          <t>②期限分布!C~BJ 列 ← 基础数据 BX~EI 列（列 76~139），共 64 桶</t>
        </is>
      </c>
      <c r="C8" s="42" t="n"/>
    </row>
    <row r="9">
      <c r="A9" s="47" t="inlineStr">
        <is>
          <t>1 年内到期</t>
        </is>
      </c>
      <c r="B9" s="65" t="inlineStr">
        <is>
          <t>②期限分布 第 3+NB 列 = SUM(1M~12M 十二个桶)</t>
        </is>
      </c>
      <c r="C9" s="42" t="n"/>
    </row>
    <row r="10">
      <c r="A10" s="47" t="inlineStr">
        <is>
          <t>收益率曲线</t>
        </is>
      </c>
      <c r="B10" s="65" t="inlineStr">
        <is>
          <t>③收益率曲线 ← 基础数据 R47~R111，64 点，中债登关键期限 + 线性插值</t>
        </is>
      </c>
      <c r="C10" s="42" t="n"/>
    </row>
    <row r="11">
      <c r="A11" s="47" t="inlineStr">
        <is>
          <t>折现因子</t>
        </is>
      </c>
      <c r="B11" s="65" t="inlineStr">
        <is>
          <t>③收益率曲线!D 列 = 1/(1+y)^t，与基础数据 R113~R176 口径一致</t>
        </is>
      </c>
      <c r="C11" s="42" t="n"/>
    </row>
    <row r="12">
      <c r="A12" s="47" t="inlineStr">
        <is>
          <t>重定价 β</t>
        </is>
      </c>
      <c r="B12" s="65" t="inlineStr">
        <is>
          <t>①数据源!L 列 = min(0.98, max(0.10, Σ前12桶 ÷ Σ全部桶))，由期限分布推导</t>
        </is>
      </c>
      <c r="C12" s="42" t="n"/>
    </row>
    <row r="13">
      <c r="A13" s="36" t="inlineStr">
        <is>
          <t>【二】核心计量公式</t>
        </is>
      </c>
      <c r="B13" s="37" t="n"/>
      <c r="C13" s="37" t="n"/>
    </row>
    <row r="14">
      <c r="A14" s="47" t="inlineStr">
        <is>
          <t>月度利息 M_i</t>
        </is>
      </c>
      <c r="B14" s="65" t="inlineStr">
        <is>
          <t>M_i = 当前余额_i × 加权平均利率_i ÷ 100 ÷ 12</t>
        </is>
      </c>
      <c r="C14" s="42" t="n"/>
    </row>
    <row r="15">
      <c r="A15" s="47" t="inlineStr">
        <is>
          <t>年度利息 I_i</t>
        </is>
      </c>
      <c r="B15" s="65" t="inlineStr">
        <is>
          <t>I_i = M_i × 12 = 当前余额_i × 加权平均利率_i</t>
        </is>
      </c>
      <c r="C15" s="42" t="n"/>
    </row>
    <row r="16">
      <c r="A16" s="47" t="inlineStr">
        <is>
          <t>利息收入</t>
        </is>
      </c>
      <c r="B16" s="65" t="inlineStr">
        <is>
          <t>Σ 资产端 I_i（仅加权平均利率 &gt; 0 的生息资产）</t>
        </is>
      </c>
      <c r="C16" s="42" t="n"/>
    </row>
    <row r="17">
      <c r="A17" s="47" t="inlineStr">
        <is>
          <t>利息支出</t>
        </is>
      </c>
      <c r="B17" s="65" t="inlineStr">
        <is>
          <t>Σ 负债端 I_i（全部计息负债）</t>
        </is>
      </c>
      <c r="C17" s="42" t="n"/>
    </row>
    <row r="18">
      <c r="A18" s="47" t="inlineStr">
        <is>
          <t>★ 净利息收入 NII</t>
        </is>
      </c>
      <c r="B18" s="65" t="inlineStr">
        <is>
          <t>NII = 利息收入 − 利息支出（亿元/年）</t>
        </is>
      </c>
      <c r="C18" s="42" t="n"/>
    </row>
    <row r="19">
      <c r="A19" s="47" t="inlineStr">
        <is>
          <t>生息资产收益率</t>
        </is>
      </c>
      <c r="B19" s="65">
        <f> 利息收入 ÷ 生息资产余额</f>
        <v/>
      </c>
      <c r="C19" s="42" t="n"/>
    </row>
    <row r="20">
      <c r="A20" s="47" t="inlineStr">
        <is>
          <t>计息负债成本率</t>
        </is>
      </c>
      <c r="B20" s="65">
        <f> 利息支出 ÷ 计息负债余额</f>
        <v/>
      </c>
      <c r="C20" s="42" t="n"/>
    </row>
    <row r="21">
      <c r="A21" s="47" t="inlineStr">
        <is>
          <t>净利差 NIS</t>
        </is>
      </c>
      <c r="B21" s="65">
        <f> 生息资产收益率 − 计息负债成本率</f>
        <v/>
      </c>
      <c r="C21" s="42" t="n"/>
    </row>
    <row r="22">
      <c r="A22" s="47" t="inlineStr">
        <is>
          <t>★ 净息差 NIM</t>
        </is>
      </c>
      <c r="B22" s="65" t="inlineStr">
        <is>
          <t>NIM = NII ÷ 生息资产余额</t>
        </is>
      </c>
      <c r="C22" s="42" t="n"/>
    </row>
    <row r="23">
      <c r="A23" s="47" t="inlineStr">
        <is>
          <t>重定价敞口</t>
        </is>
      </c>
      <c r="B23" s="65" t="inlineStr">
        <is>
          <t>A_β = Σ(资产余额 × β)；L_β = Σ(负债余额 × β)</t>
        </is>
      </c>
      <c r="C23" s="42" t="n"/>
    </row>
    <row r="24">
      <c r="A24" s="47" t="inlineStr">
        <is>
          <t>★ 重定价缺口 RG</t>
        </is>
      </c>
      <c r="B24" s="65" t="inlineStr">
        <is>
          <t>RG = A_β − L_β；RG &gt; 0 → 利率上行时 NII 受损</t>
        </is>
      </c>
      <c r="C24" s="42" t="n"/>
    </row>
    <row r="25">
      <c r="A25" s="47" t="inlineStr">
        <is>
          <t>ΔNII 敏感度</t>
        </is>
      </c>
      <c r="B25" s="65" t="inlineStr">
        <is>
          <t>ΔNII = −Δr × RG；NII 利率弹性 = −RG ÷ 生息资产</t>
        </is>
      </c>
      <c r="C25" s="42" t="n"/>
    </row>
    <row r="26">
      <c r="A26" s="36" t="inlineStr">
        <is>
          <t>【三】期限分布口径说明（重要）</t>
        </is>
      </c>
      <c r="B26" s="37" t="n"/>
      <c r="C26" s="37" t="n"/>
    </row>
    <row r="27">
      <c r="A27" s="47" t="inlineStr">
        <is>
          <t>等额分期结构</t>
        </is>
      </c>
      <c r="B27" s="65" t="inlineStr">
        <is>
          <t>资产端非零桶为前 16 个（1M~16M 等额）；活期存款 3 桶；定期 / 市场化负债 12 桶</t>
        </is>
      </c>
      <c r="C27" s="42" t="n"/>
    </row>
    <row r="28">
      <c r="A28" s="47" t="inlineStr">
        <is>
          <t>Σ桶 ≤ 当前余额</t>
        </is>
      </c>
      <c r="B28" s="65" t="inlineStr">
        <is>
          <t>Σ 分布合计仅覆盖余额 53.07%（资产）/ 99.98%（负债），差额为未到期续作本金</t>
        </is>
      </c>
      <c r="C28" s="42" t="n"/>
    </row>
    <row r="29">
      <c r="A29" s="47" t="inlineStr">
        <is>
          <t>对 NII 的影响</t>
        </is>
      </c>
      <c r="B29" s="65" t="inlineStr">
        <is>
          <t>NII 由 余额 × 加权利率 直接决定，不依赖期限分布；期限分布仅用于推导重定价 β</t>
        </is>
      </c>
      <c r="C29" s="42" t="n"/>
    </row>
    <row r="30">
      <c r="A30" s="47" t="inlineStr">
        <is>
          <t>活期存款 β = 1</t>
        </is>
      </c>
      <c r="B30" s="65" t="inlineStr">
        <is>
          <t>活期存款 3 桶结构，1 年内 100% 到期，β 上限取 1，是负债端重定价最快的部分</t>
        </is>
      </c>
      <c r="C30" s="42" t="n"/>
    </row>
    <row r="31">
      <c r="A31" s="47" t="inlineStr">
        <is>
          <t>资产端 β ≈ 0.20</t>
        </is>
      </c>
      <c r="B31" s="65" t="inlineStr">
        <is>
          <t>资产端 16 桶等额分期，1 年内到期约 1/4，β 显著低于负债端</t>
        </is>
      </c>
      <c r="C31" s="42" t="n"/>
    </row>
    <row r="32">
      <c r="A32" s="36" t="inlineStr">
        <is>
          <t>【四】prcp 平台实体映射</t>
        </is>
      </c>
      <c r="B32" s="37" t="n"/>
      <c r="C32" s="37" t="n"/>
    </row>
    <row r="33">
      <c r="A33" s="47" t="inlineStr">
        <is>
          <t>KpiScheme（指标方案）</t>
        </is>
      </c>
      <c r="B33" s="65" t="inlineStr">
        <is>
          <t>NII 指标方案主体，绑定账户册方案 CoaScheme（方案 8）</t>
        </is>
      </c>
      <c r="C33" s="42" t="n"/>
    </row>
    <row r="34">
      <c r="A34" s="47" t="inlineStr">
        <is>
          <t>KpiDefinition（指标定义）</t>
        </is>
      </c>
      <c r="B34" s="65" t="inlineStr">
        <is>
          <t>NII 定义：formula = Σ(资产利息) − Σ(负债利息)，unit = 亿元/年</t>
        </is>
      </c>
      <c r="C34" s="42" t="n"/>
    </row>
    <row r="35">
      <c r="A35" s="47" t="inlineStr">
        <is>
          <t>KpiDefinition（关联指标）</t>
        </is>
      </c>
      <c r="B35" s="65" t="inlineStr">
        <is>
          <t>NIM 定义引用 NII 作为输入，形成 NII → NIM 计量链路</t>
        </is>
      </c>
      <c r="C35" s="42" t="n"/>
    </row>
    <row r="36">
      <c r="A36" s="47" t="inlineStr">
        <is>
          <t>KpiValue（指标值）</t>
        </is>
      </c>
      <c r="B36" s="65" t="inlineStr">
        <is>
          <t>落库字段：value + value_date + scheme_id + definition_id</t>
        </is>
      </c>
      <c r="C36" s="42" t="n"/>
    </row>
    <row r="37">
      <c r="A37" s="47" t="inlineStr">
        <is>
          <t>CoaNode（账户节点）</t>
        </is>
      </c>
      <c r="B37" s="65" t="inlineStr">
        <is>
          <t>24 个末级账户对应 prcp_coa_node，node_code 即 ①数据源!A 列账户编码</t>
        </is>
      </c>
      <c r="C37" s="42" t="n"/>
    </row>
    <row r="38">
      <c r="A38" s="47" t="inlineStr">
        <is>
          <t>prcp_data_basic</t>
        </is>
      </c>
      <c r="B38" s="65" t="inlineStr">
        <is>
          <t>余额与期限分布对应 prcp_data_basic 的 orig_* / rem_* 64 桶列</t>
        </is>
      </c>
      <c r="C38" s="42" t="n"/>
    </row>
    <row r="39">
      <c r="A39" s="47" t="inlineStr">
        <is>
          <t>MetricCoefficient（系数）</t>
        </is>
      </c>
      <c r="B39" s="65" t="inlineStr">
        <is>
          <t>各账户加权平均利率对应系数表，支持按方案覆盖</t>
        </is>
      </c>
      <c r="C39" s="42" t="n"/>
    </row>
    <row r="40">
      <c r="A40" s="47" t="inlineStr">
        <is>
          <t>SimScheme（测算方案）</t>
        </is>
      </c>
      <c r="B40" s="65" t="inlineStr">
        <is>
          <t>利率情景（Δr = ±250/100/50 bp）对应测算方案，批量重算 NII</t>
        </is>
      </c>
      <c r="C40" s="42" t="n"/>
    </row>
    <row r="41">
      <c r="A41" s="36" t="inlineStr">
        <is>
          <t>【五】本模版相比早期版本的关键修正</t>
        </is>
      </c>
      <c r="B41" s="37" t="n"/>
      <c r="C41" s="37" t="n"/>
    </row>
    <row r="42">
      <c r="A42" s="47" t="inlineStr">
        <is>
          <t>① 数据真实性</t>
        </is>
      </c>
      <c r="B42" s="65" t="inlineStr">
        <is>
          <t>全部余额 / 利率 / 期限分布改用 prcp_basic_20251231.xlsx 真实值，替换推演数据</t>
        </is>
      </c>
      <c r="C42" s="42" t="n"/>
    </row>
    <row r="43">
      <c r="A43" s="47" t="inlineStr">
        <is>
          <t>② 口径逐笔对齐</t>
        </is>
      </c>
      <c r="B43" s="65" t="inlineStr">
        <is>
          <t>月度利息与参照物 EM 列逐笔核对，偏差 0；年度 = 月度 × 12，设校验 4 / 5 兜底</t>
        </is>
      </c>
      <c r="C43" s="42" t="n"/>
    </row>
    <row r="44">
      <c r="A44" s="47" t="inlineStr">
        <is>
          <t>③ 非生息资产剔除</t>
        </is>
      </c>
      <c r="B44" s="65" t="inlineStr">
        <is>
          <t>非生息资产 30,000 亿（利率 0%）不计入 NIM 分母，单列备查</t>
        </is>
      </c>
      <c r="C44" s="42" t="n"/>
    </row>
    <row r="45">
      <c r="A45" s="47" t="inlineStr">
        <is>
          <t>④ β 由数据推导</t>
        </is>
      </c>
      <c r="B45" s="65" t="inlineStr">
        <is>
          <t>重定价 β 不再主观设定，改由剩余期限分布 1 年内到期占比推导</t>
        </is>
      </c>
      <c r="C45" s="42" t="n"/>
    </row>
    <row r="46">
      <c r="A46" s="47" t="inlineStr">
        <is>
          <t>⑤ 覆盖度透明</t>
        </is>
      </c>
      <c r="B46" s="65" t="inlineStr">
        <is>
          <t>显式披露 Σ 期限分布 / 当前余额 覆盖率，资产端 53.07% 一目了然</t>
        </is>
      </c>
      <c r="C46" s="42" t="n"/>
    </row>
    <row r="47">
      <c r="A47" s="47" t="inlineStr">
        <is>
          <t>⑥ 10 项勾稽校验</t>
        </is>
      </c>
      <c r="B47" s="65" t="inlineStr">
        <is>
          <t>明细↔数据源、月度↔年度、占比合计、NII 恒等式、条线加总，全部应归零</t>
        </is>
      </c>
      <c r="C47" s="4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2026-10-23T06:33:13Z</dcterms:created>
  <dcterms:modified xsi:type="dcterms:W3CDTF">2026-10-23T06:33:13Z</dcterms:modified>
</cp:coreProperties>
</file>