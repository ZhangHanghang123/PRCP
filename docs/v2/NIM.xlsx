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项目明细" sheetId="1" state="visible" r:id="rId1"/>
    <sheet xmlns:r="http://schemas.openxmlformats.org/officeDocument/2006/relationships" name="NIM计算" sheetId="2" state="visible" r:id="rId2"/>
    <sheet xmlns:r="http://schemas.openxmlformats.org/officeDocument/2006/relationships" name="折算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00%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4E78"/>
      <sz val="10"/>
    </font>
    <font>
      <name val="Microsoft YaHei"/>
      <b val="1"/>
      <color rgb="00C65911"/>
      <sz val="10"/>
    </font>
    <font>
      <name val="Microsoft YaHei"/>
      <b val="1"/>
      <color rgb="001F4E78"/>
      <sz val="12"/>
    </font>
    <font>
      <name val="Microsoft YaHei"/>
      <b val="1"/>
      <color rgb="00C00000"/>
      <sz val="11"/>
    </font>
    <font>
      <name val="Microsoft YaHei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10" fontId="2" fillId="0" borderId="0" applyAlignment="1" pivotButton="0" quotePrefix="0" xfId="0">
      <alignment horizontal="center" vertical="center" wrapText="1"/>
    </xf>
    <xf numFmtId="164" fontId="3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164" fontId="2" fillId="4" borderId="0" pivotButton="0" quotePrefix="0" xfId="0"/>
    <xf numFmtId="1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64" fontId="4" fillId="4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5" borderId="0" pivotButton="0" quotePrefix="0" xfId="0"/>
    <xf numFmtId="10" fontId="2" fillId="0" borderId="0" pivotButton="0" quotePrefix="0" xfId="0"/>
    <xf numFmtId="0" fontId="6" fillId="3" borderId="0" pivotButton="0" quotePrefix="0" xfId="0"/>
    <xf numFmtId="164" fontId="6" fillId="3" borderId="0" pivotButton="0" quotePrefix="0" xfId="0"/>
    <xf numFmtId="0" fontId="7" fillId="3" borderId="0" pivotButton="0" quotePrefix="0" xfId="0"/>
    <xf numFmtId="165" fontId="7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22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22" customWidth="1" min="10" max="10"/>
    <col width="35" customWidth="1" min="11" max="11"/>
  </cols>
  <sheetData>
    <row r="1" ht="30" customHeight="1">
      <c r="A1" s="1" t="inlineStr">
        <is>
          <t>项目序号</t>
        </is>
      </c>
      <c r="B1" s="1" t="inlineStr">
        <is>
          <t>项目名称</t>
        </is>
      </c>
      <c r="C1" s="1" t="inlineStr">
        <is>
          <t>是否末级节点</t>
        </is>
      </c>
      <c r="D1" s="1" t="inlineStr">
        <is>
          <t>当前余额（人民币元）</t>
        </is>
      </c>
      <c r="E1" s="1" t="inlineStr">
        <is>
          <t>是否生息资产</t>
        </is>
      </c>
      <c r="F1" s="1" t="inlineStr">
        <is>
          <t>资产利率</t>
        </is>
      </c>
      <c r="G1" s="1" t="inlineStr">
        <is>
          <t>利息收入贡献</t>
        </is>
      </c>
      <c r="H1" s="1" t="inlineStr">
        <is>
          <t>是否计息负债</t>
        </is>
      </c>
      <c r="I1" s="1" t="inlineStr">
        <is>
          <t>负债利率</t>
        </is>
      </c>
      <c r="J1" s="1" t="inlineStr">
        <is>
          <t>利息支出贡献</t>
        </is>
      </c>
      <c r="K1" s="1" t="inlineStr">
        <is>
          <t>NIM 规则说明</t>
        </is>
      </c>
    </row>
    <row r="2">
      <c r="A2" s="2" t="inlineStr">
        <is>
          <t>S010000000000</t>
        </is>
      </c>
      <c r="B2" s="2" t="inlineStr">
        <is>
          <t>总资产</t>
        </is>
      </c>
      <c r="C2" s="3" t="inlineStr">
        <is>
          <t>否</t>
        </is>
      </c>
      <c r="E2" s="3" t="n"/>
      <c r="F2" s="3" t="inlineStr">
        <is>
          <t>-</t>
        </is>
      </c>
      <c r="G2" s="4" t="n">
        <v>0</v>
      </c>
      <c r="H2" s="3" t="n"/>
      <c r="I2" s="3" t="inlineStr">
        <is>
          <t>-</t>
        </is>
      </c>
      <c r="J2" s="4" t="n">
        <v>0</v>
      </c>
      <c r="K2" s="2" t="n"/>
    </row>
    <row r="3">
      <c r="A3" s="2" t="inlineStr">
        <is>
          <t>S010100000000</t>
        </is>
      </c>
      <c r="B3" s="2" t="inlineStr">
        <is>
          <t>（一）人民币小计</t>
        </is>
      </c>
      <c r="C3" s="3" t="inlineStr">
        <is>
          <t>否</t>
        </is>
      </c>
      <c r="E3" s="3" t="n"/>
      <c r="F3" s="3" t="inlineStr">
        <is>
          <t>-</t>
        </is>
      </c>
      <c r="G3" s="4" t="n">
        <v>0</v>
      </c>
      <c r="H3" s="3" t="n"/>
      <c r="I3" s="3" t="inlineStr">
        <is>
          <t>-</t>
        </is>
      </c>
      <c r="J3" s="4" t="n">
        <v>0</v>
      </c>
      <c r="K3" s="2" t="n"/>
    </row>
    <row r="4">
      <c r="A4" s="2" t="inlineStr">
        <is>
          <t>S010101000000</t>
        </is>
      </c>
      <c r="B4" s="2" t="inlineStr">
        <is>
          <t>1.境内人民币各项贷款</t>
        </is>
      </c>
      <c r="C4" s="3" t="inlineStr">
        <is>
          <t>否</t>
        </is>
      </c>
      <c r="D4" s="4" t="n">
        <v>8380847647531.74</v>
      </c>
      <c r="E4" s="3" t="n"/>
      <c r="F4" s="3" t="inlineStr">
        <is>
          <t>-</t>
        </is>
      </c>
      <c r="G4" s="4" t="n">
        <v>0</v>
      </c>
      <c r="H4" s="3" t="n"/>
      <c r="I4" s="3" t="inlineStr">
        <is>
          <t>-</t>
        </is>
      </c>
      <c r="J4" s="4" t="n">
        <v>0</v>
      </c>
      <c r="K4" s="2" t="n"/>
    </row>
    <row r="5">
      <c r="A5" s="2" t="inlineStr">
        <is>
          <t>S010101010000</t>
        </is>
      </c>
      <c r="B5" s="2" t="inlineStr">
        <is>
          <t>1.1.对公一般贷款</t>
        </is>
      </c>
      <c r="C5" s="3" t="inlineStr">
        <is>
          <t>是</t>
        </is>
      </c>
      <c r="D5" s="4" t="n">
        <v>2945272044075.94</v>
      </c>
      <c r="E5" s="3" t="inlineStr">
        <is>
          <t>是</t>
        </is>
      </c>
      <c r="F5" s="5" t="n">
        <v>0.0465</v>
      </c>
      <c r="G5" s="6">
        <f>IF(E5="是",D5*F5,0)</f>
        <v/>
      </c>
      <c r="H5" s="3" t="n"/>
      <c r="I5" s="3" t="inlineStr">
        <is>
          <t>-</t>
        </is>
      </c>
      <c r="J5" s="4" t="n">
        <v>0</v>
      </c>
      <c r="K5" s="2" t="inlineStr">
        <is>
          <t>对公一般贷款 利率 4.65%</t>
        </is>
      </c>
    </row>
    <row r="6">
      <c r="A6" s="2" t="inlineStr">
        <is>
          <t>S010101020000</t>
        </is>
      </c>
      <c r="B6" s="2" t="inlineStr">
        <is>
          <t>1.2.个人贷款</t>
        </is>
      </c>
      <c r="C6" s="3" t="inlineStr">
        <is>
          <t>是</t>
        </is>
      </c>
      <c r="D6" s="4" t="n">
        <v>1828186569200.79</v>
      </c>
      <c r="E6" s="3" t="inlineStr">
        <is>
          <t>是</t>
        </is>
      </c>
      <c r="F6" s="5" t="n">
        <v>0.0485</v>
      </c>
      <c r="G6" s="6">
        <f>IF(E6="是",D6*F6,0)</f>
        <v/>
      </c>
      <c r="H6" s="3" t="n"/>
      <c r="I6" s="3" t="inlineStr">
        <is>
          <t>-</t>
        </is>
      </c>
      <c r="J6" s="4" t="n">
        <v>0</v>
      </c>
      <c r="K6" s="2" t="inlineStr">
        <is>
          <t>个人贷款 利率 4.85%</t>
        </is>
      </c>
    </row>
    <row r="7">
      <c r="A7" s="2" t="inlineStr">
        <is>
          <t>S010101030000</t>
        </is>
      </c>
      <c r="B7" s="2" t="inlineStr">
        <is>
          <t>1.3.信用卡贷款</t>
        </is>
      </c>
      <c r="C7" s="3" t="inlineStr">
        <is>
          <t>是</t>
        </is>
      </c>
      <c r="D7" s="4" t="n">
        <v>444525501384.64</v>
      </c>
      <c r="E7" s="3" t="inlineStr">
        <is>
          <t>是</t>
        </is>
      </c>
      <c r="F7" s="5" t="n">
        <v>0.1205</v>
      </c>
      <c r="G7" s="6">
        <f>IF(E7="是",D7*F7,0)</f>
        <v/>
      </c>
      <c r="H7" s="3" t="n"/>
      <c r="I7" s="3" t="inlineStr">
        <is>
          <t>-</t>
        </is>
      </c>
      <c r="J7" s="4" t="n">
        <v>0</v>
      </c>
      <c r="K7" s="2" t="inlineStr">
        <is>
          <t>信用卡贷款 利率 12.05%</t>
        </is>
      </c>
    </row>
    <row r="8">
      <c r="A8" s="2" t="inlineStr">
        <is>
          <t>S010101040000</t>
        </is>
      </c>
      <c r="B8" s="2" t="inlineStr">
        <is>
          <t>1.4.票据贴现</t>
        </is>
      </c>
      <c r="C8" s="3" t="inlineStr">
        <is>
          <t>是</t>
        </is>
      </c>
      <c r="D8" s="4" t="n">
        <v>201340076281.32</v>
      </c>
      <c r="E8" s="3" t="inlineStr">
        <is>
          <t>是</t>
        </is>
      </c>
      <c r="F8" s="5" t="n">
        <v>0.0255</v>
      </c>
      <c r="G8" s="6">
        <f>IF(E8="是",D8*F8,0)</f>
        <v/>
      </c>
      <c r="H8" s="3" t="n"/>
      <c r="I8" s="3" t="inlineStr">
        <is>
          <t>-</t>
        </is>
      </c>
      <c r="J8" s="4" t="n">
        <v>0</v>
      </c>
      <c r="K8" s="2" t="inlineStr">
        <is>
          <t>票据贴现 利率 2.55%</t>
        </is>
      </c>
    </row>
    <row r="9">
      <c r="A9" s="2" t="inlineStr">
        <is>
          <t>S010101050000</t>
        </is>
      </c>
      <c r="B9" s="2" t="inlineStr">
        <is>
          <t>1.5.非银贷款</t>
        </is>
      </c>
      <c r="C9" s="3" t="inlineStr">
        <is>
          <t>是</t>
        </is>
      </c>
      <c r="D9" s="4" t="n">
        <v>348478250000</v>
      </c>
      <c r="E9" s="3" t="inlineStr">
        <is>
          <t>是</t>
        </is>
      </c>
      <c r="F9" s="5" t="n">
        <v>0.0405</v>
      </c>
      <c r="G9" s="6">
        <f>IF(E9="是",D9*F9,0)</f>
        <v/>
      </c>
      <c r="H9" s="3" t="n"/>
      <c r="I9" s="3" t="inlineStr">
        <is>
          <t>-</t>
        </is>
      </c>
      <c r="J9" s="4" t="n">
        <v>0</v>
      </c>
      <c r="K9" s="2" t="inlineStr">
        <is>
          <t>非银贷款 利率 4.05%</t>
        </is>
      </c>
    </row>
    <row r="10">
      <c r="A10" s="2" t="inlineStr">
        <is>
          <t>S010102000000</t>
        </is>
      </c>
      <c r="B10" s="2" t="inlineStr">
        <is>
          <t>2.人民币非信贷类业务</t>
        </is>
      </c>
      <c r="C10" s="3" t="inlineStr">
        <is>
          <t>否</t>
        </is>
      </c>
      <c r="D10" s="4" t="n">
        <v>2613045206589.05</v>
      </c>
      <c r="E10" s="3" t="n"/>
      <c r="F10" s="3" t="inlineStr">
        <is>
          <t>-</t>
        </is>
      </c>
      <c r="G10" s="4" t="n">
        <v>0</v>
      </c>
      <c r="H10" s="3" t="n"/>
      <c r="I10" s="3" t="inlineStr">
        <is>
          <t>-</t>
        </is>
      </c>
      <c r="J10" s="4" t="n">
        <v>0</v>
      </c>
      <c r="K10" s="2" t="n"/>
    </row>
    <row r="11">
      <c r="A11" s="2" t="inlineStr">
        <is>
          <t>S010102010000</t>
        </is>
      </c>
      <c r="B11" s="2" t="inlineStr">
        <is>
          <t>2.1.债券投资</t>
        </is>
      </c>
      <c r="C11" s="3" t="inlineStr">
        <is>
          <t>否</t>
        </is>
      </c>
      <c r="D11" s="4" t="n">
        <v>1794400523623.64</v>
      </c>
      <c r="E11" s="3" t="n"/>
      <c r="F11" s="3" t="inlineStr">
        <is>
          <t>-</t>
        </is>
      </c>
      <c r="G11" s="4" t="n">
        <v>0</v>
      </c>
      <c r="H11" s="3" t="n"/>
      <c r="I11" s="3" t="inlineStr">
        <is>
          <t>-</t>
        </is>
      </c>
      <c r="J11" s="4" t="n">
        <v>0</v>
      </c>
      <c r="K11" s="2" t="n"/>
    </row>
    <row r="12">
      <c r="A12" s="2" t="inlineStr">
        <is>
          <t>S010102010100</t>
        </is>
      </c>
      <c r="B12" s="2" t="inlineStr">
        <is>
          <t>2.1.1金市自营债券</t>
        </is>
      </c>
      <c r="C12" s="3" t="inlineStr">
        <is>
          <t>否</t>
        </is>
      </c>
      <c r="D12" s="4" t="n">
        <v>1184382566128.63</v>
      </c>
      <c r="E12" s="3" t="n"/>
      <c r="F12" s="3" t="inlineStr">
        <is>
          <t>-</t>
        </is>
      </c>
      <c r="G12" s="4" t="n">
        <v>0</v>
      </c>
      <c r="H12" s="3" t="n"/>
      <c r="I12" s="3" t="inlineStr">
        <is>
          <t>-</t>
        </is>
      </c>
      <c r="J12" s="4" t="n">
        <v>0</v>
      </c>
      <c r="K12" s="2" t="n"/>
    </row>
    <row r="13">
      <c r="A13" s="2" t="inlineStr">
        <is>
          <t>S010102010101</t>
        </is>
      </c>
      <c r="B13" s="2" t="inlineStr">
        <is>
          <t>2.1.1.1AC</t>
        </is>
      </c>
      <c r="C13" s="3" t="inlineStr">
        <is>
          <t>是</t>
        </is>
      </c>
      <c r="D13" s="4" t="n">
        <v>543980069724.63</v>
      </c>
      <c r="E13" s="3" t="inlineStr">
        <is>
          <t>是</t>
        </is>
      </c>
      <c r="F13" s="5" t="n">
        <v>0.0325</v>
      </c>
      <c r="G13" s="6">
        <f>IF(E13="是",D13*F13,0)</f>
        <v/>
      </c>
      <c r="H13" s="3" t="n"/>
      <c r="I13" s="3" t="inlineStr">
        <is>
          <t>-</t>
        </is>
      </c>
      <c r="J13" s="4" t="n">
        <v>0</v>
      </c>
      <c r="K13" s="2" t="inlineStr">
        <is>
          <t>金市 AC 利率 3.25%</t>
        </is>
      </c>
    </row>
    <row r="14">
      <c r="A14" s="2" t="inlineStr">
        <is>
          <t>S010102010102</t>
        </is>
      </c>
      <c r="B14" s="2" t="inlineStr">
        <is>
          <t>2.1.1.2FVOCI</t>
        </is>
      </c>
      <c r="C14" s="3" t="inlineStr">
        <is>
          <t>是</t>
        </is>
      </c>
      <c r="D14" s="4" t="n">
        <v>640402496404</v>
      </c>
      <c r="E14" s="3" t="inlineStr">
        <is>
          <t>是</t>
        </is>
      </c>
      <c r="F14" s="5" t="n">
        <v>0.0305</v>
      </c>
      <c r="G14" s="6">
        <f>IF(E14="是",D14*F14,0)</f>
        <v/>
      </c>
      <c r="H14" s="3" t="n"/>
      <c r="I14" s="3" t="inlineStr">
        <is>
          <t>-</t>
        </is>
      </c>
      <c r="J14" s="4" t="n">
        <v>0</v>
      </c>
      <c r="K14" s="2" t="inlineStr">
        <is>
          <t>金市 FVOCI 利率 3.05%</t>
        </is>
      </c>
    </row>
    <row r="15">
      <c r="A15" s="2" t="inlineStr">
        <is>
          <t>S010102010103</t>
        </is>
      </c>
      <c r="B15" s="2" t="inlineStr">
        <is>
          <t>2.1.1.3FVTPL</t>
        </is>
      </c>
      <c r="C15" s="3" t="inlineStr">
        <is>
          <t>是</t>
        </is>
      </c>
      <c r="D15" s="4" t="n">
        <v>50000000000</v>
      </c>
      <c r="E15" s="3" t="inlineStr">
        <is>
          <t>是</t>
        </is>
      </c>
      <c r="F15" s="5" t="n">
        <v>0</v>
      </c>
      <c r="G15" s="6">
        <f>IF(E15="是",D15*F15,0)</f>
        <v/>
      </c>
      <c r="H15" s="3" t="n"/>
      <c r="I15" s="3" t="inlineStr">
        <is>
          <t>-</t>
        </is>
      </c>
      <c r="J15" s="4" t="n">
        <v>0</v>
      </c>
      <c r="K15" s="2" t="inlineStr">
        <is>
          <t>金市 FVTPL 利率 0%</t>
        </is>
      </c>
    </row>
    <row r="16">
      <c r="A16" s="2" t="inlineStr">
        <is>
          <t>S010102010200</t>
        </is>
      </c>
      <c r="B16" s="2" t="inlineStr">
        <is>
          <t>2.1.2司库债券</t>
        </is>
      </c>
      <c r="C16" s="3" t="inlineStr">
        <is>
          <t>是</t>
        </is>
      </c>
      <c r="D16" s="4" t="n">
        <v>610017957495.01</v>
      </c>
      <c r="E16" s="3" t="n"/>
      <c r="F16" s="3" t="inlineStr">
        <is>
          <t>-</t>
        </is>
      </c>
      <c r="G16" s="4" t="n">
        <v>0</v>
      </c>
      <c r="H16" s="3" t="n"/>
      <c r="I16" s="3" t="inlineStr">
        <is>
          <t>-</t>
        </is>
      </c>
      <c r="J16" s="4" t="n">
        <v>0</v>
      </c>
      <c r="K16" s="2" t="n"/>
    </row>
    <row r="17">
      <c r="A17" s="2" t="inlineStr">
        <is>
          <t>S010102010201</t>
        </is>
      </c>
      <c r="B17" s="2" t="inlineStr">
        <is>
          <t>2.1.2.1AC</t>
        </is>
      </c>
      <c r="C17" s="3" t="inlineStr">
        <is>
          <t>是</t>
        </is>
      </c>
      <c r="D17" s="4" t="n">
        <v>566351367717.5</v>
      </c>
      <c r="E17" s="3" t="inlineStr">
        <is>
          <t>是</t>
        </is>
      </c>
      <c r="F17" s="5" t="n">
        <v>0.0325</v>
      </c>
      <c r="G17" s="6">
        <f>IF(E17="是",D17*F17,0)</f>
        <v/>
      </c>
      <c r="H17" s="3" t="n"/>
      <c r="I17" s="3" t="inlineStr">
        <is>
          <t>-</t>
        </is>
      </c>
      <c r="J17" s="4" t="n">
        <v>0</v>
      </c>
      <c r="K17" s="2" t="inlineStr">
        <is>
          <t>司库 AC 利率 3.25%</t>
        </is>
      </c>
    </row>
    <row r="18">
      <c r="A18" s="2" t="inlineStr">
        <is>
          <t>S010102010202</t>
        </is>
      </c>
      <c r="B18" s="2" t="inlineStr">
        <is>
          <t>2.1.2.2FVOCI</t>
        </is>
      </c>
      <c r="C18" s="3" t="inlineStr">
        <is>
          <t>是</t>
        </is>
      </c>
      <c r="D18" s="4" t="n">
        <v>43666589777.51</v>
      </c>
      <c r="E18" s="3" t="inlineStr">
        <is>
          <t>是</t>
        </is>
      </c>
      <c r="F18" s="5" t="n">
        <v>0.0305</v>
      </c>
      <c r="G18" s="6">
        <f>IF(E18="是",D18*F18,0)</f>
        <v/>
      </c>
      <c r="H18" s="3" t="n"/>
      <c r="I18" s="3" t="inlineStr">
        <is>
          <t>-</t>
        </is>
      </c>
      <c r="J18" s="4" t="n">
        <v>0</v>
      </c>
      <c r="K18" s="2" t="inlineStr">
        <is>
          <t>司库 FVOCI 利率 3.05%</t>
        </is>
      </c>
    </row>
    <row r="19">
      <c r="A19" s="2" t="inlineStr">
        <is>
          <t>S010102010203</t>
        </is>
      </c>
      <c r="B19" s="2" t="inlineStr">
        <is>
          <t>2.1.2.3FVTPL</t>
        </is>
      </c>
      <c r="C19" s="3" t="inlineStr">
        <is>
          <t>是</t>
        </is>
      </c>
      <c r="D19" s="4" t="n">
        <v>30000000000</v>
      </c>
      <c r="E19" s="3" t="inlineStr">
        <is>
          <t>是</t>
        </is>
      </c>
      <c r="F19" s="5" t="n">
        <v>0</v>
      </c>
      <c r="G19" s="6">
        <f>IF(E19="是",D19*F19,0)</f>
        <v/>
      </c>
      <c r="H19" s="3" t="n"/>
      <c r="I19" s="3" t="inlineStr">
        <is>
          <t>-</t>
        </is>
      </c>
      <c r="J19" s="4" t="n">
        <v>0</v>
      </c>
      <c r="K19" s="2" t="inlineStr">
        <is>
          <t>司库 FVTPL 利率 0%</t>
        </is>
      </c>
    </row>
    <row r="20">
      <c r="A20" s="2" t="inlineStr">
        <is>
          <t>S010102020000</t>
        </is>
      </c>
      <c r="B20" s="2" t="inlineStr">
        <is>
          <t>2.2.结构化融资</t>
        </is>
      </c>
      <c r="C20" s="3" t="inlineStr">
        <is>
          <t>是</t>
        </is>
      </c>
      <c r="D20" s="4" t="n">
        <v>205172333337.52</v>
      </c>
      <c r="E20" s="3" t="inlineStr">
        <is>
          <t>是</t>
        </is>
      </c>
      <c r="F20" s="5" t="n">
        <v>0.0455</v>
      </c>
      <c r="G20" s="6">
        <f>IF(E20="是",D20*F20,0)</f>
        <v/>
      </c>
      <c r="H20" s="3" t="n"/>
      <c r="I20" s="3" t="inlineStr">
        <is>
          <t>-</t>
        </is>
      </c>
      <c r="J20" s="4" t="n">
        <v>0</v>
      </c>
      <c r="K20" s="2" t="inlineStr">
        <is>
          <t>结构化融资 利率 4.55%</t>
        </is>
      </c>
    </row>
    <row r="21">
      <c r="A21" s="2" t="inlineStr">
        <is>
          <t>S010102030000</t>
        </is>
      </c>
      <c r="B21" s="2" t="inlineStr">
        <is>
          <t>2.3.同业资产（不含拆放非银）</t>
        </is>
      </c>
      <c r="C21" s="3" t="inlineStr">
        <is>
          <t>是</t>
        </is>
      </c>
      <c r="D21" s="4" t="n">
        <v>248117663093.33</v>
      </c>
      <c r="E21" s="3" t="inlineStr">
        <is>
          <t>是</t>
        </is>
      </c>
      <c r="F21" s="5" t="n">
        <v>0.0225</v>
      </c>
      <c r="G21" s="6">
        <f>IF(E21="是",D21*F21,0)</f>
        <v/>
      </c>
      <c r="H21" s="3" t="n"/>
      <c r="I21" s="3" t="inlineStr">
        <is>
          <t>-</t>
        </is>
      </c>
      <c r="J21" s="4" t="n">
        <v>0</v>
      </c>
      <c r="K21" s="2" t="inlineStr">
        <is>
          <t>同业资产 利率 2.25%</t>
        </is>
      </c>
    </row>
    <row r="22">
      <c r="A22" s="2" t="inlineStr">
        <is>
          <t>S010102040000</t>
        </is>
      </c>
      <c r="B22" s="2" t="inlineStr">
        <is>
          <t>2.4.存款准备金</t>
        </is>
      </c>
      <c r="C22" s="3" t="inlineStr">
        <is>
          <t>是</t>
        </is>
      </c>
      <c r="D22" s="4" t="n">
        <v>365354686534.56</v>
      </c>
      <c r="E22" s="3" t="inlineStr">
        <is>
          <t>是</t>
        </is>
      </c>
      <c r="F22" s="5" t="n">
        <v>0.0185</v>
      </c>
      <c r="G22" s="6">
        <f>IF(E22="是",D22*F22,0)</f>
        <v/>
      </c>
      <c r="H22" s="3" t="n"/>
      <c r="I22" s="3" t="inlineStr">
        <is>
          <t>-</t>
        </is>
      </c>
      <c r="J22" s="4" t="n">
        <v>0</v>
      </c>
      <c r="K22" s="2" t="inlineStr">
        <is>
          <t>存款准备金 利率 1.85%</t>
        </is>
      </c>
    </row>
    <row r="23">
      <c r="A23" s="2" t="inlineStr">
        <is>
          <t>S010103000000</t>
        </is>
      </c>
      <c r="B23" s="2" t="inlineStr">
        <is>
          <t>3.人民币非生息资产</t>
        </is>
      </c>
      <c r="C23" s="3" t="inlineStr">
        <is>
          <t>否</t>
        </is>
      </c>
      <c r="D23" s="4" t="n">
        <v>867778998074.61</v>
      </c>
      <c r="E23" s="3" t="n"/>
      <c r="F23" s="3" t="inlineStr">
        <is>
          <t>-</t>
        </is>
      </c>
      <c r="G23" s="4" t="n">
        <v>0</v>
      </c>
      <c r="H23" s="3" t="n"/>
      <c r="I23" s="3" t="inlineStr">
        <is>
          <t>-</t>
        </is>
      </c>
      <c r="J23" s="4" t="n">
        <v>0</v>
      </c>
      <c r="K23" s="2" t="n"/>
    </row>
    <row r="24">
      <c r="A24" s="2" t="inlineStr">
        <is>
          <t>S010103010000</t>
        </is>
      </c>
      <c r="B24" s="2" t="inlineStr">
        <is>
          <t>3.1.FVTPL类资产</t>
        </is>
      </c>
      <c r="C24" s="3" t="inlineStr">
        <is>
          <t>是</t>
        </is>
      </c>
      <c r="D24" s="4" t="n">
        <v>640262452968.54</v>
      </c>
      <c r="E24" s="3" t="inlineStr">
        <is>
          <t>是</t>
        </is>
      </c>
      <c r="F24" s="5" t="n">
        <v>0</v>
      </c>
      <c r="G24" s="6">
        <f>IF(E24="是",D24*F24,0)</f>
        <v/>
      </c>
      <c r="H24" s="3" t="n"/>
      <c r="I24" s="3" t="inlineStr">
        <is>
          <t>-</t>
        </is>
      </c>
      <c r="J24" s="4" t="n">
        <v>0</v>
      </c>
      <c r="K24" s="2" t="inlineStr">
        <is>
          <t>FVTPL类资产 利率 0%（不计入利息收入）</t>
        </is>
      </c>
    </row>
    <row r="25">
      <c r="A25" s="2" t="inlineStr">
        <is>
          <t>S010103020000</t>
        </is>
      </c>
      <c r="B25" s="2" t="inlineStr">
        <is>
          <t>3.2.其他非生息资产</t>
        </is>
      </c>
      <c r="C25" s="3" t="inlineStr">
        <is>
          <t>否</t>
        </is>
      </c>
      <c r="D25" s="4" t="n">
        <v>227516545106.07</v>
      </c>
      <c r="E25" s="3" t="n"/>
      <c r="F25" s="3" t="inlineStr">
        <is>
          <t>-</t>
        </is>
      </c>
      <c r="G25" s="4" t="n">
        <v>0</v>
      </c>
      <c r="H25" s="3" t="n"/>
      <c r="I25" s="3" t="inlineStr">
        <is>
          <t>-</t>
        </is>
      </c>
      <c r="J25" s="4" t="n">
        <v>0</v>
      </c>
      <c r="K25" s="2" t="n"/>
    </row>
    <row r="26">
      <c r="A26" s="2" t="inlineStr">
        <is>
          <t>S010103020100</t>
        </is>
      </c>
      <c r="B26" s="2" t="inlineStr">
        <is>
          <t>3.2.1. 其中：现金</t>
        </is>
      </c>
      <c r="C26" s="3" t="inlineStr">
        <is>
          <t>是</t>
        </is>
      </c>
      <c r="D26" s="4" t="n">
        <v>127516545106</v>
      </c>
      <c r="E26" s="3" t="inlineStr">
        <is>
          <t>是</t>
        </is>
      </c>
      <c r="F26" s="5" t="n">
        <v>0</v>
      </c>
      <c r="G26" s="6">
        <f>IF(E26="是",D26*F26,0)</f>
        <v/>
      </c>
      <c r="H26" s="3" t="n"/>
      <c r="I26" s="3" t="inlineStr">
        <is>
          <t>-</t>
        </is>
      </c>
      <c r="J26" s="4" t="n">
        <v>0</v>
      </c>
      <c r="K26" s="2" t="inlineStr">
        <is>
          <t>现金 利率 0%（不计入利息收入）</t>
        </is>
      </c>
    </row>
    <row r="27">
      <c r="A27" s="2" t="inlineStr">
        <is>
          <t>S010103020200</t>
        </is>
      </c>
      <c r="B27" s="2" t="inlineStr">
        <is>
          <t>3.2.2. 其中：其它</t>
        </is>
      </c>
      <c r="C27" s="3" t="inlineStr">
        <is>
          <t>是</t>
        </is>
      </c>
      <c r="D27" s="4" t="n">
        <v>100000000000</v>
      </c>
      <c r="E27" s="3" t="inlineStr">
        <is>
          <t>是</t>
        </is>
      </c>
      <c r="F27" s="5" t="n">
        <v>0</v>
      </c>
      <c r="G27" s="6">
        <f>IF(E27="是",D27*F27,0)</f>
        <v/>
      </c>
      <c r="H27" s="3" t="n"/>
      <c r="I27" s="3" t="inlineStr">
        <is>
          <t>-</t>
        </is>
      </c>
      <c r="J27" s="4" t="n">
        <v>0</v>
      </c>
      <c r="K27" s="2" t="inlineStr">
        <is>
          <t>其它 利率 0%（不计入利息收入）</t>
        </is>
      </c>
    </row>
    <row r="28">
      <c r="A28" s="2" t="inlineStr">
        <is>
          <t>S010200000000</t>
        </is>
      </c>
      <c r="B28" s="2" t="inlineStr">
        <is>
          <t>（二）外币小计（人民币）</t>
        </is>
      </c>
      <c r="C28" s="3" t="inlineStr">
        <is>
          <t>否</t>
        </is>
      </c>
      <c r="E28" s="3" t="n"/>
      <c r="F28" s="3" t="inlineStr">
        <is>
          <t>-</t>
        </is>
      </c>
      <c r="G28" s="4" t="n">
        <v>0</v>
      </c>
      <c r="H28" s="3" t="n"/>
      <c r="I28" s="3" t="inlineStr">
        <is>
          <t>-</t>
        </is>
      </c>
      <c r="J28" s="4" t="n">
        <v>0</v>
      </c>
      <c r="K28" s="2" t="n"/>
    </row>
    <row r="29">
      <c r="A29" s="2" t="inlineStr">
        <is>
          <t>S010201000000</t>
        </is>
      </c>
      <c r="B29" s="2" t="inlineStr">
        <is>
          <t>1.外币贷款</t>
        </is>
      </c>
      <c r="C29" s="3" t="inlineStr">
        <is>
          <t>是</t>
        </is>
      </c>
      <c r="D29" s="4" t="n">
        <v>80000000000</v>
      </c>
      <c r="E29" s="3" t="inlineStr">
        <is>
          <t>是</t>
        </is>
      </c>
      <c r="F29" s="5" t="n">
        <v>0.0505</v>
      </c>
      <c r="G29" s="6">
        <f>IF(E29="是",D29*F29,0)</f>
        <v/>
      </c>
      <c r="H29" s="3" t="n"/>
      <c r="I29" s="3" t="inlineStr">
        <is>
          <t>-</t>
        </is>
      </c>
      <c r="J29" s="4" t="n">
        <v>0</v>
      </c>
      <c r="K29" s="2" t="inlineStr">
        <is>
          <t>外币贷款 利率 5.05%</t>
        </is>
      </c>
    </row>
    <row r="30">
      <c r="A30" s="2" t="inlineStr">
        <is>
          <t>S010202000000</t>
        </is>
      </c>
      <c r="B30" s="2" t="inlineStr">
        <is>
          <t>2.外币非信贷资产</t>
        </is>
      </c>
      <c r="C30" s="3" t="inlineStr">
        <is>
          <t>否</t>
        </is>
      </c>
      <c r="E30" s="3" t="n"/>
      <c r="F30" s="3" t="inlineStr">
        <is>
          <t>-</t>
        </is>
      </c>
      <c r="G30" s="4" t="n">
        <v>0</v>
      </c>
      <c r="H30" s="3" t="n"/>
      <c r="I30" s="3" t="inlineStr">
        <is>
          <t>-</t>
        </is>
      </c>
      <c r="J30" s="4" t="n">
        <v>0</v>
      </c>
      <c r="K30" s="2" t="n"/>
    </row>
    <row r="31">
      <c r="A31" s="2" t="inlineStr">
        <is>
          <t>S010202010000</t>
        </is>
      </c>
      <c r="B31" s="2" t="inlineStr">
        <is>
          <t>2.1.外币债券</t>
        </is>
      </c>
      <c r="C31" s="3" t="inlineStr">
        <is>
          <t>是</t>
        </is>
      </c>
      <c r="D31" s="4" t="n">
        <v>35000000000</v>
      </c>
      <c r="E31" s="3" t="inlineStr">
        <is>
          <t>是</t>
        </is>
      </c>
      <c r="F31" s="5" t="n">
        <v>0.0355</v>
      </c>
      <c r="G31" s="6">
        <f>IF(E31="是",D31*F31,0)</f>
        <v/>
      </c>
      <c r="H31" s="3" t="n"/>
      <c r="I31" s="3" t="inlineStr">
        <is>
          <t>-</t>
        </is>
      </c>
      <c r="J31" s="4" t="n">
        <v>0</v>
      </c>
      <c r="K31" s="2" t="inlineStr">
        <is>
          <t>外币债券 利率 3.55%</t>
        </is>
      </c>
    </row>
    <row r="32">
      <c r="A32" s="2" t="inlineStr">
        <is>
          <t>S010202020000</t>
        </is>
      </c>
      <c r="B32" s="2" t="inlineStr">
        <is>
          <t>2.2.同业资产</t>
        </is>
      </c>
      <c r="C32" s="3" t="inlineStr">
        <is>
          <t>是</t>
        </is>
      </c>
      <c r="D32" s="4" t="n">
        <v>25000000000</v>
      </c>
      <c r="E32" s="3" t="inlineStr">
        <is>
          <t>是</t>
        </is>
      </c>
      <c r="F32" s="5" t="n">
        <v>0.0355</v>
      </c>
      <c r="G32" s="6">
        <f>IF(E32="是",D32*F32,0)</f>
        <v/>
      </c>
      <c r="H32" s="3" t="n"/>
      <c r="I32" s="3" t="inlineStr">
        <is>
          <t>-</t>
        </is>
      </c>
      <c r="J32" s="4" t="n">
        <v>0</v>
      </c>
      <c r="K32" s="2" t="inlineStr">
        <is>
          <t>外币同业 利率 3.55%</t>
        </is>
      </c>
    </row>
    <row r="33">
      <c r="A33" s="7" t="inlineStr">
        <is>
          <t>S010203000000</t>
        </is>
      </c>
      <c r="B33" s="7" t="inlineStr">
        <is>
          <t>3.外币非生息资产</t>
        </is>
      </c>
      <c r="C33" s="8" t="inlineStr">
        <is>
          <t>是</t>
        </is>
      </c>
      <c r="D33" s="9" t="n">
        <v>10000000000</v>
      </c>
      <c r="E33" s="8" t="inlineStr">
        <is>
          <t>是</t>
        </is>
      </c>
      <c r="F33" s="10" t="n">
        <v>0</v>
      </c>
      <c r="G33" s="6">
        <f>IF(E33="是",D33*F33,0)</f>
        <v/>
      </c>
      <c r="H33" s="8" t="n"/>
      <c r="I33" s="8" t="inlineStr">
        <is>
          <t>-</t>
        </is>
      </c>
      <c r="J33" s="9" t="n">
        <v>0</v>
      </c>
      <c r="K33" s="7" t="inlineStr">
        <is>
          <t>外币非生息 利率 0%</t>
        </is>
      </c>
    </row>
    <row r="34">
      <c r="A34" s="7" t="inlineStr">
        <is>
          <t>S020000000000</t>
        </is>
      </c>
      <c r="B34" s="7" t="inlineStr">
        <is>
          <t>总负债</t>
        </is>
      </c>
      <c r="C34" s="8" t="inlineStr">
        <is>
          <t>否</t>
        </is>
      </c>
      <c r="D34" s="11" t="n"/>
      <c r="E34" s="8" t="n"/>
      <c r="F34" s="8" t="inlineStr">
        <is>
          <t>-</t>
        </is>
      </c>
      <c r="G34" s="9" t="n">
        <v>0</v>
      </c>
      <c r="H34" s="8" t="n"/>
      <c r="I34" s="8" t="inlineStr">
        <is>
          <t>-</t>
        </is>
      </c>
      <c r="J34" s="9" t="n">
        <v>0</v>
      </c>
      <c r="K34" s="7" t="n"/>
    </row>
    <row r="35">
      <c r="A35" s="7" t="inlineStr">
        <is>
          <t>S020100000000</t>
        </is>
      </c>
      <c r="B35" s="7" t="inlineStr">
        <is>
          <t>（一）人民币小计</t>
        </is>
      </c>
      <c r="C35" s="8" t="inlineStr">
        <is>
          <t>否</t>
        </is>
      </c>
      <c r="D35" s="11" t="n"/>
      <c r="E35" s="8" t="n"/>
      <c r="F35" s="8" t="inlineStr">
        <is>
          <t>-</t>
        </is>
      </c>
      <c r="G35" s="9" t="n">
        <v>0</v>
      </c>
      <c r="H35" s="8" t="n"/>
      <c r="I35" s="8" t="inlineStr">
        <is>
          <t>-</t>
        </is>
      </c>
      <c r="J35" s="9" t="n">
        <v>0</v>
      </c>
      <c r="K35" s="7" t="n"/>
    </row>
    <row r="36">
      <c r="A36" s="7" t="inlineStr">
        <is>
          <t>S020101000000</t>
        </is>
      </c>
      <c r="B36" s="7" t="inlineStr">
        <is>
          <t>1.境内人民币自营存款</t>
        </is>
      </c>
      <c r="C36" s="8" t="inlineStr">
        <is>
          <t>否</t>
        </is>
      </c>
      <c r="D36" s="11" t="n"/>
      <c r="E36" s="8" t="n"/>
      <c r="F36" s="8" t="inlineStr">
        <is>
          <t>-</t>
        </is>
      </c>
      <c r="G36" s="9" t="n">
        <v>0</v>
      </c>
      <c r="H36" s="8" t="n"/>
      <c r="I36" s="8" t="inlineStr">
        <is>
          <t>-</t>
        </is>
      </c>
      <c r="J36" s="9" t="n">
        <v>0</v>
      </c>
      <c r="K36" s="7" t="n"/>
    </row>
    <row r="37">
      <c r="A37" s="7" t="inlineStr">
        <is>
          <t>S020101010000</t>
        </is>
      </c>
      <c r="B37" s="7" t="inlineStr">
        <is>
          <t>1.1.对公存款</t>
        </is>
      </c>
      <c r="C37" s="8" t="inlineStr">
        <is>
          <t>否</t>
        </is>
      </c>
      <c r="D37" s="9" t="n">
        <v>4222682106931.64</v>
      </c>
      <c r="E37" s="8" t="n"/>
      <c r="F37" s="8" t="inlineStr">
        <is>
          <t>-</t>
        </is>
      </c>
      <c r="G37" s="9" t="n">
        <v>0</v>
      </c>
      <c r="H37" s="8" t="n"/>
      <c r="I37" s="8" t="inlineStr">
        <is>
          <t>-</t>
        </is>
      </c>
      <c r="J37" s="9" t="n">
        <v>0</v>
      </c>
      <c r="K37" s="7" t="n"/>
    </row>
    <row r="38">
      <c r="A38" s="7" t="inlineStr">
        <is>
          <t>S020101010100</t>
        </is>
      </c>
      <c r="B38" s="7" t="inlineStr">
        <is>
          <t>1.1.1对公活期存款</t>
        </is>
      </c>
      <c r="C38" s="8" t="inlineStr">
        <is>
          <t>是</t>
        </is>
      </c>
      <c r="D38" s="9" t="n">
        <v>2486212417437.03</v>
      </c>
      <c r="E38" s="8" t="n"/>
      <c r="F38" s="8" t="inlineStr">
        <is>
          <t>-</t>
        </is>
      </c>
      <c r="G38" s="9" t="n">
        <v>0</v>
      </c>
      <c r="H38" s="8" t="inlineStr">
        <is>
          <t>是</t>
        </is>
      </c>
      <c r="I38" s="10" t="n">
        <v>0.0095</v>
      </c>
      <c r="J38" s="12">
        <f>IF(H38="是",D38*I38,0)</f>
        <v/>
      </c>
      <c r="K38" s="7" t="inlineStr">
        <is>
          <t>对公活期存款 利率 0.95%</t>
        </is>
      </c>
    </row>
    <row r="39">
      <c r="A39" s="7" t="inlineStr">
        <is>
          <t>S020101010200</t>
        </is>
      </c>
      <c r="B39" s="7" t="inlineStr">
        <is>
          <t>1.1.2对公定期存款</t>
        </is>
      </c>
      <c r="C39" s="8" t="inlineStr">
        <is>
          <t>是</t>
        </is>
      </c>
      <c r="D39" s="9" t="n">
        <v>1736469689494.61</v>
      </c>
      <c r="E39" s="8" t="n"/>
      <c r="F39" s="8" t="inlineStr">
        <is>
          <t>-</t>
        </is>
      </c>
      <c r="G39" s="9" t="n">
        <v>0</v>
      </c>
      <c r="H39" s="8" t="inlineStr">
        <is>
          <t>是</t>
        </is>
      </c>
      <c r="I39" s="10" t="n">
        <v>0.0358</v>
      </c>
      <c r="J39" s="12">
        <f>IF(H39="是",D39*I39,0)</f>
        <v/>
      </c>
      <c r="K39" s="7" t="inlineStr">
        <is>
          <t>对公定期存款 利率 3.58%</t>
        </is>
      </c>
    </row>
    <row r="40">
      <c r="A40" s="7" t="inlineStr">
        <is>
          <t>S020101020000</t>
        </is>
      </c>
      <c r="B40" s="7" t="inlineStr">
        <is>
          <t>1.2.零售存款</t>
        </is>
      </c>
      <c r="C40" s="8" t="inlineStr">
        <is>
          <t>否</t>
        </is>
      </c>
      <c r="D40" s="9" t="n">
        <v>2169431482604.05</v>
      </c>
      <c r="E40" s="8" t="n"/>
      <c r="F40" s="8" t="inlineStr">
        <is>
          <t>-</t>
        </is>
      </c>
      <c r="G40" s="9" t="n">
        <v>0</v>
      </c>
      <c r="H40" s="8" t="n"/>
      <c r="I40" s="8" t="inlineStr">
        <is>
          <t>-</t>
        </is>
      </c>
      <c r="J40" s="9" t="n">
        <v>0</v>
      </c>
      <c r="K40" s="7" t="n"/>
    </row>
    <row r="41">
      <c r="A41" s="7" t="inlineStr">
        <is>
          <t>S020101020100</t>
        </is>
      </c>
      <c r="B41" s="7" t="inlineStr">
        <is>
          <t>1.2.1零售活期存款</t>
        </is>
      </c>
      <c r="C41" s="8" t="inlineStr">
        <is>
          <t>是</t>
        </is>
      </c>
      <c r="D41" s="9" t="n">
        <v>434867199487.65</v>
      </c>
      <c r="E41" s="8" t="n"/>
      <c r="F41" s="8" t="inlineStr">
        <is>
          <t>-</t>
        </is>
      </c>
      <c r="G41" s="9" t="n">
        <v>0</v>
      </c>
      <c r="H41" s="8" t="inlineStr">
        <is>
          <t>是</t>
        </is>
      </c>
      <c r="I41" s="10" t="n">
        <v>0.0042</v>
      </c>
      <c r="J41" s="12">
        <f>IF(H41="是",D41*I41,0)</f>
        <v/>
      </c>
      <c r="K41" s="7" t="inlineStr">
        <is>
          <t>零售活期存款 利率 0.42%</t>
        </is>
      </c>
    </row>
    <row r="42">
      <c r="A42" s="7" t="inlineStr">
        <is>
          <t>S020101020200</t>
        </is>
      </c>
      <c r="B42" s="7" t="inlineStr">
        <is>
          <t>1.2.2零售定期存款</t>
        </is>
      </c>
      <c r="C42" s="8" t="inlineStr">
        <is>
          <t>是</t>
        </is>
      </c>
      <c r="D42" s="9" t="n">
        <v>1734564283116.4</v>
      </c>
      <c r="E42" s="8" t="n"/>
      <c r="F42" s="8" t="inlineStr">
        <is>
          <t>-</t>
        </is>
      </c>
      <c r="G42" s="9" t="n">
        <v>0</v>
      </c>
      <c r="H42" s="8" t="inlineStr">
        <is>
          <t>是</t>
        </is>
      </c>
      <c r="I42" s="10" t="n">
        <v>0.0308</v>
      </c>
      <c r="J42" s="12">
        <f>IF(H42="是",D42*I42,0)</f>
        <v/>
      </c>
      <c r="K42" s="7" t="inlineStr">
        <is>
          <t>零售定期存款 利率 3.08%</t>
        </is>
      </c>
    </row>
    <row r="43">
      <c r="A43" s="7" t="inlineStr">
        <is>
          <t>S020102000000</t>
        </is>
      </c>
      <c r="B43" s="7" t="inlineStr">
        <is>
          <t>2.人民币市场化负债</t>
        </is>
      </c>
      <c r="C43" s="8" t="inlineStr">
        <is>
          <t>否</t>
        </is>
      </c>
      <c r="D43" s="11" t="n"/>
      <c r="E43" s="8" t="n"/>
      <c r="F43" s="8" t="inlineStr">
        <is>
          <t>-</t>
        </is>
      </c>
      <c r="G43" s="9" t="n">
        <v>0</v>
      </c>
      <c r="H43" s="8" t="n"/>
      <c r="I43" s="8" t="inlineStr">
        <is>
          <t>-</t>
        </is>
      </c>
      <c r="J43" s="9" t="n">
        <v>0</v>
      </c>
      <c r="K43" s="7" t="n"/>
    </row>
    <row r="44">
      <c r="A44" s="7" t="inlineStr">
        <is>
          <t>S020102010000</t>
        </is>
      </c>
      <c r="B44" s="7" t="inlineStr">
        <is>
          <t>2.2.1同业负债</t>
        </is>
      </c>
      <c r="C44" s="8" t="inlineStr">
        <is>
          <t>否</t>
        </is>
      </c>
      <c r="D44" s="11" t="n"/>
      <c r="E44" s="8" t="n"/>
      <c r="F44" s="8" t="inlineStr">
        <is>
          <t>-</t>
        </is>
      </c>
      <c r="G44" s="9" t="n">
        <v>0</v>
      </c>
      <c r="H44" s="8" t="n"/>
      <c r="I44" s="8" t="inlineStr">
        <is>
          <t>-</t>
        </is>
      </c>
      <c r="J44" s="9" t="n">
        <v>0</v>
      </c>
      <c r="K44" s="7" t="n"/>
    </row>
    <row r="45">
      <c r="A45" s="7" t="inlineStr">
        <is>
          <t>S020102010100</t>
        </is>
      </c>
      <c r="B45" s="7" t="inlineStr">
        <is>
          <t>2.2.1.1货币市场同业拆入</t>
        </is>
      </c>
      <c r="C45" s="8" t="inlineStr">
        <is>
          <t>是</t>
        </is>
      </c>
      <c r="D45" s="9" t="n">
        <v>32988348999.99</v>
      </c>
      <c r="E45" s="8" t="n"/>
      <c r="F45" s="8" t="inlineStr">
        <is>
          <t>-</t>
        </is>
      </c>
      <c r="G45" s="9" t="n">
        <v>0</v>
      </c>
      <c r="H45" s="8" t="inlineStr">
        <is>
          <t>是</t>
        </is>
      </c>
      <c r="I45" s="10" t="n">
        <v>0.0215</v>
      </c>
      <c r="J45" s="12">
        <f>IF(H45="是",D45*I45,0)</f>
        <v/>
      </c>
      <c r="K45" s="7" t="inlineStr">
        <is>
          <t>同业拆入 利率 2.15%</t>
        </is>
      </c>
    </row>
    <row r="46">
      <c r="A46" s="7" t="inlineStr">
        <is>
          <t>S020102010200</t>
        </is>
      </c>
      <c r="B46" s="7" t="inlineStr">
        <is>
          <t>2.2.1.2货币市场债券回购</t>
        </is>
      </c>
      <c r="C46" s="8" t="inlineStr">
        <is>
          <t>是</t>
        </is>
      </c>
      <c r="D46" s="9" t="n">
        <v>95875096000</v>
      </c>
      <c r="E46" s="8" t="n"/>
      <c r="F46" s="8" t="inlineStr">
        <is>
          <t>-</t>
        </is>
      </c>
      <c r="G46" s="9" t="n">
        <v>0</v>
      </c>
      <c r="H46" s="8" t="inlineStr">
        <is>
          <t>是</t>
        </is>
      </c>
      <c r="I46" s="10" t="n">
        <v>0.0195</v>
      </c>
      <c r="J46" s="12">
        <f>IF(H46="是",D46*I46,0)</f>
        <v/>
      </c>
      <c r="K46" s="7" t="inlineStr">
        <is>
          <t>同业回购 利率 1.95%</t>
        </is>
      </c>
    </row>
    <row r="47">
      <c r="A47" s="7" t="inlineStr">
        <is>
          <t>S020102010300</t>
        </is>
      </c>
      <c r="B47" s="7" t="inlineStr">
        <is>
          <t>2.2.1.3同业存单（NCD）</t>
        </is>
      </c>
      <c r="C47" s="8" t="inlineStr">
        <is>
          <t>是</t>
        </is>
      </c>
      <c r="D47" s="9" t="n">
        <v>932237942418.6899</v>
      </c>
      <c r="E47" s="8" t="n"/>
      <c r="F47" s="8" t="inlineStr">
        <is>
          <t>-</t>
        </is>
      </c>
      <c r="G47" s="9" t="n">
        <v>0</v>
      </c>
      <c r="H47" s="8" t="inlineStr">
        <is>
          <t>是</t>
        </is>
      </c>
      <c r="I47" s="10" t="n">
        <v>0.029</v>
      </c>
      <c r="J47" s="12">
        <f>IF(H47="是",D47*I47,0)</f>
        <v/>
      </c>
      <c r="K47" s="7" t="inlineStr">
        <is>
          <t>同业存单 NCD 利率 2.90%</t>
        </is>
      </c>
    </row>
    <row r="48">
      <c r="A48" s="7" t="inlineStr">
        <is>
          <t>S020102010400</t>
        </is>
      </c>
      <c r="B48" s="7" t="inlineStr">
        <is>
          <t>2.2.1.4同业存款</t>
        </is>
      </c>
      <c r="C48" s="8" t="inlineStr">
        <is>
          <t>是</t>
        </is>
      </c>
      <c r="D48" s="9" t="n">
        <v>915605054241.89</v>
      </c>
      <c r="E48" s="8" t="n"/>
      <c r="F48" s="8" t="inlineStr">
        <is>
          <t>-</t>
        </is>
      </c>
      <c r="G48" s="9" t="n">
        <v>0</v>
      </c>
      <c r="H48" s="8" t="inlineStr">
        <is>
          <t>是</t>
        </is>
      </c>
      <c r="I48" s="10" t="n">
        <v>0.029</v>
      </c>
      <c r="J48" s="12">
        <f>IF(H48="是",D48*I48,0)</f>
        <v/>
      </c>
      <c r="K48" s="7" t="inlineStr">
        <is>
          <t>同业存款 利率 2.90%</t>
        </is>
      </c>
    </row>
    <row r="49">
      <c r="A49" s="7" t="inlineStr">
        <is>
          <t>S020102010500</t>
        </is>
      </c>
      <c r="B49" s="7" t="inlineStr">
        <is>
          <t>2.2.1.5票据转贴现回购</t>
        </is>
      </c>
      <c r="C49" s="8" t="inlineStr">
        <is>
          <t>是</t>
        </is>
      </c>
      <c r="D49" s="9" t="n">
        <v>1000000000</v>
      </c>
      <c r="E49" s="8" t="n"/>
      <c r="F49" s="8" t="inlineStr">
        <is>
          <t>-</t>
        </is>
      </c>
      <c r="G49" s="9" t="n">
        <v>0</v>
      </c>
      <c r="H49" s="8" t="inlineStr">
        <is>
          <t>是</t>
        </is>
      </c>
      <c r="I49" s="10" t="n">
        <v>0.0245</v>
      </c>
      <c r="J49" s="12">
        <f>IF(H49="是",D49*I49,0)</f>
        <v/>
      </c>
      <c r="K49" s="7" t="inlineStr">
        <is>
          <t>票据转贴现 利率 2.45%</t>
        </is>
      </c>
    </row>
    <row r="50">
      <c r="A50" s="7" t="inlineStr">
        <is>
          <t>S020102020000</t>
        </is>
      </c>
      <c r="B50" s="7" t="inlineStr">
        <is>
          <t>2.2.2央行借款</t>
        </is>
      </c>
      <c r="C50" s="8" t="inlineStr">
        <is>
          <t>否</t>
        </is>
      </c>
      <c r="D50" s="11" t="n"/>
      <c r="E50" s="8" t="n"/>
      <c r="F50" s="8" t="inlineStr">
        <is>
          <t>-</t>
        </is>
      </c>
      <c r="G50" s="9" t="n">
        <v>0</v>
      </c>
      <c r="H50" s="8" t="n"/>
      <c r="I50" s="8" t="inlineStr">
        <is>
          <t>-</t>
        </is>
      </c>
      <c r="J50" s="9" t="n">
        <v>0</v>
      </c>
      <c r="K50" s="7" t="n"/>
    </row>
    <row r="51">
      <c r="A51" s="7" t="inlineStr">
        <is>
          <t>S020102020100</t>
        </is>
      </c>
      <c r="B51" s="7" t="inlineStr">
        <is>
          <t>2.2.2.1公开市场回购</t>
        </is>
      </c>
      <c r="C51" s="8" t="inlineStr">
        <is>
          <t>是</t>
        </is>
      </c>
      <c r="D51" s="9" t="n">
        <v>353887790000</v>
      </c>
      <c r="E51" s="8" t="n"/>
      <c r="F51" s="8" t="inlineStr">
        <is>
          <t>-</t>
        </is>
      </c>
      <c r="G51" s="9" t="n">
        <v>0</v>
      </c>
      <c r="H51" s="8" t="inlineStr">
        <is>
          <t>是</t>
        </is>
      </c>
      <c r="I51" s="10" t="n">
        <v>0.024</v>
      </c>
      <c r="J51" s="12">
        <f>IF(H51="是",D51*I51,0)</f>
        <v/>
      </c>
      <c r="K51" s="7" t="inlineStr">
        <is>
          <t>公开市场回购 利率 2.40%</t>
        </is>
      </c>
    </row>
    <row r="52">
      <c r="A52" s="7" t="inlineStr">
        <is>
          <t>S020102020200</t>
        </is>
      </c>
      <c r="B52" s="7" t="inlineStr">
        <is>
          <t>2.2.2.2中期借贷便利（MLF）</t>
        </is>
      </c>
      <c r="C52" s="8" t="inlineStr">
        <is>
          <t>是</t>
        </is>
      </c>
      <c r="D52" s="9" t="n">
        <v>160370000000</v>
      </c>
      <c r="E52" s="8" t="n"/>
      <c r="F52" s="8" t="inlineStr">
        <is>
          <t>-</t>
        </is>
      </c>
      <c r="G52" s="9" t="n">
        <v>0</v>
      </c>
      <c r="H52" s="8" t="inlineStr">
        <is>
          <t>是</t>
        </is>
      </c>
      <c r="I52" s="10" t="n">
        <v>0.029</v>
      </c>
      <c r="J52" s="12">
        <f>IF(H52="是",D52*I52,0)</f>
        <v/>
      </c>
      <c r="K52" s="7" t="inlineStr">
        <is>
          <t>MLF 利率 2.90%</t>
        </is>
      </c>
    </row>
    <row r="53">
      <c r="A53" s="7" t="inlineStr">
        <is>
          <t>S020102020300</t>
        </is>
      </c>
      <c r="B53" s="7" t="inlineStr">
        <is>
          <t>2.2.2.3结构性货币政策工具</t>
        </is>
      </c>
      <c r="C53" s="8" t="inlineStr">
        <is>
          <t>是</t>
        </is>
      </c>
      <c r="D53" s="9" t="n">
        <v>42212093203.19</v>
      </c>
      <c r="E53" s="8" t="n"/>
      <c r="F53" s="8" t="inlineStr">
        <is>
          <t>-</t>
        </is>
      </c>
      <c r="G53" s="9" t="n">
        <v>0</v>
      </c>
      <c r="H53" s="8" t="inlineStr">
        <is>
          <t>是</t>
        </is>
      </c>
      <c r="I53" s="10" t="n">
        <v>0.0145</v>
      </c>
      <c r="J53" s="12">
        <f>IF(H53="是",D53*I53,0)</f>
        <v/>
      </c>
      <c r="K53" s="7" t="inlineStr">
        <is>
          <t>结构性货币政策工具 利率 1.45%</t>
        </is>
      </c>
    </row>
    <row r="54">
      <c r="A54" s="7" t="inlineStr">
        <is>
          <t>S020102020400</t>
        </is>
      </c>
      <c r="B54" s="7" t="inlineStr">
        <is>
          <t>2.2.2.4票据再贴现回购</t>
        </is>
      </c>
      <c r="C54" s="8" t="inlineStr">
        <is>
          <t>是</t>
        </is>
      </c>
      <c r="D54" s="9" t="n">
        <v>1525214781.84</v>
      </c>
      <c r="E54" s="8" t="n"/>
      <c r="F54" s="8" t="inlineStr">
        <is>
          <t>-</t>
        </is>
      </c>
      <c r="G54" s="9" t="n">
        <v>0</v>
      </c>
      <c r="H54" s="8" t="inlineStr">
        <is>
          <t>是</t>
        </is>
      </c>
      <c r="I54" s="10" t="n">
        <v>0.0195</v>
      </c>
      <c r="J54" s="12">
        <f>IF(H54="是",D54*I54,0)</f>
        <v/>
      </c>
      <c r="K54" s="7" t="inlineStr">
        <is>
          <t>票据再贴现 利率 1.95%</t>
        </is>
      </c>
    </row>
    <row r="55">
      <c r="A55" s="7" t="inlineStr">
        <is>
          <t>S020200000000</t>
        </is>
      </c>
      <c r="B55" s="7" t="inlineStr">
        <is>
          <t>（二）外币小计（人民币）</t>
        </is>
      </c>
      <c r="C55" s="8" t="inlineStr">
        <is>
          <t>否</t>
        </is>
      </c>
      <c r="D55" s="11" t="n"/>
      <c r="E55" s="8" t="n"/>
      <c r="F55" s="8" t="inlineStr">
        <is>
          <t>-</t>
        </is>
      </c>
      <c r="G55" s="9" t="n">
        <v>0</v>
      </c>
      <c r="H55" s="8" t="n"/>
      <c r="I55" s="8" t="inlineStr">
        <is>
          <t>-</t>
        </is>
      </c>
      <c r="J55" s="9" t="n">
        <v>0</v>
      </c>
      <c r="K55" s="7" t="n"/>
    </row>
    <row r="56">
      <c r="A56" s="7" t="inlineStr">
        <is>
          <t>S020201000000</t>
        </is>
      </c>
      <c r="B56" s="7" t="inlineStr">
        <is>
          <t>1.外币存款</t>
        </is>
      </c>
      <c r="C56" s="8" t="inlineStr">
        <is>
          <t>是</t>
        </is>
      </c>
      <c r="D56" s="9" t="n">
        <v>150000000000</v>
      </c>
      <c r="E56" s="8" t="n"/>
      <c r="F56" s="8" t="inlineStr">
        <is>
          <t>-</t>
        </is>
      </c>
      <c r="G56" s="9" t="n">
        <v>0</v>
      </c>
      <c r="H56" s="8" t="inlineStr">
        <is>
          <t>是</t>
        </is>
      </c>
      <c r="I56" s="10" t="n">
        <v>0.029</v>
      </c>
      <c r="J56" s="12">
        <f>IF(H56="是",D56*I56,0)</f>
        <v/>
      </c>
      <c r="K56" s="7" t="inlineStr">
        <is>
          <t>外币存款 利率 2.90%</t>
        </is>
      </c>
    </row>
    <row r="57">
      <c r="A57" s="7" t="inlineStr">
        <is>
          <t>S020202000000</t>
        </is>
      </c>
      <c r="B57" s="7" t="inlineStr">
        <is>
          <t>2.外币市场化负债</t>
        </is>
      </c>
      <c r="C57" s="8" t="inlineStr">
        <is>
          <t>是</t>
        </is>
      </c>
      <c r="D57" s="9" t="n">
        <v>80000000000</v>
      </c>
      <c r="E57" s="8" t="n"/>
      <c r="F57" s="8" t="inlineStr">
        <is>
          <t>-</t>
        </is>
      </c>
      <c r="G57" s="9" t="n">
        <v>0</v>
      </c>
      <c r="H57" s="8" t="inlineStr">
        <is>
          <t>是</t>
        </is>
      </c>
      <c r="I57" s="10" t="n">
        <v>0.029</v>
      </c>
      <c r="J57" s="12">
        <f>IF(H57="是",D57*I57,0)</f>
        <v/>
      </c>
      <c r="K57" s="7" t="inlineStr">
        <is>
          <t>外币市场化负债 利率 2.90%</t>
        </is>
      </c>
    </row>
    <row r="58">
      <c r="A58" s="2" t="inlineStr">
        <is>
          <t>S030000000000</t>
        </is>
      </c>
      <c r="B58" s="2" t="inlineStr">
        <is>
          <t>所有者权益</t>
        </is>
      </c>
      <c r="C58" s="3" t="inlineStr">
        <is>
          <t>是</t>
        </is>
      </c>
      <c r="D58" s="4" t="n">
        <v>786217000000</v>
      </c>
      <c r="E58" s="3" t="n"/>
      <c r="F58" s="3" t="inlineStr">
        <is>
          <t>-</t>
        </is>
      </c>
      <c r="G58" s="4" t="n">
        <v>0</v>
      </c>
      <c r="H58" s="3" t="n"/>
      <c r="I58" s="3" t="inlineStr">
        <is>
          <t>-</t>
        </is>
      </c>
      <c r="J58" s="4" t="n">
        <v>0</v>
      </c>
      <c r="K5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</cols>
  <sheetData>
    <row r="1" ht="24" customHeight="1">
      <c r="A1" s="13" t="inlineStr">
        <is>
          <t>净息差（NIM）计量</t>
        </is>
      </c>
    </row>
    <row r="3" ht="24" customHeight="1">
      <c r="A3" s="14" t="inlineStr">
        <is>
          <t>【一】生息资产</t>
        </is>
      </c>
    </row>
    <row r="4">
      <c r="A4" s="2" t="inlineStr">
        <is>
          <t xml:space="preserve">  生息资产合计（来自项目明细 E 列="是" 求和）</t>
        </is>
      </c>
      <c r="B4" s="6">
        <f>SUMIF('NIM项目明细'!E2:E58,"是",'NIM项目明细'!D2:D58)</f>
        <v/>
      </c>
    </row>
    <row r="6" ht="24" customHeight="1">
      <c r="A6" s="14" t="inlineStr">
        <is>
          <t>【二】利息收入</t>
        </is>
      </c>
    </row>
    <row r="7">
      <c r="A7" s="2" t="inlineStr">
        <is>
          <t xml:space="preserve">  利息收入合计（来自项目明细 G 列求和）</t>
        </is>
      </c>
      <c r="B7" s="6">
        <f>SUM('NIM项目明细'!G2:G58)</f>
        <v/>
      </c>
    </row>
    <row r="8">
      <c r="A8" s="2" t="inlineStr">
        <is>
          <t xml:space="preserve">  生息资产收益率（利息收入 / 平均生息资产）</t>
        </is>
      </c>
      <c r="B8" s="15">
        <f>B7/B4</f>
        <v/>
      </c>
    </row>
    <row r="10" ht="24" customHeight="1">
      <c r="A10" s="14" t="inlineStr">
        <is>
          <t>【三】计息负债</t>
        </is>
      </c>
    </row>
    <row r="11">
      <c r="A11" s="2" t="inlineStr">
        <is>
          <t xml:space="preserve">  计息负债合计（来自项目明细 H 列="是" 求和）</t>
        </is>
      </c>
      <c r="B11" s="12">
        <f>SUMIF('NIM项目明细'!H2:H58,"是",'NIM项目明细'!D2:D58)</f>
        <v/>
      </c>
    </row>
    <row r="13" ht="24" customHeight="1">
      <c r="A13" s="14" t="inlineStr">
        <is>
          <t>【四】利息支出</t>
        </is>
      </c>
    </row>
    <row r="14">
      <c r="A14" s="2" t="inlineStr">
        <is>
          <t xml:space="preserve">  利息支出合计（来自项目明细 J 列求和）</t>
        </is>
      </c>
      <c r="B14" s="12">
        <f>SUM('NIM项目明细'!J2:J58)</f>
        <v/>
      </c>
    </row>
    <row r="15">
      <c r="A15" s="2" t="inlineStr">
        <is>
          <t xml:space="preserve">  计息负债成本率（利息支出 / 平均计息负债）</t>
        </is>
      </c>
      <c r="B15" s="15">
        <f>B14/B11</f>
        <v/>
      </c>
    </row>
    <row r="17" ht="24" customHeight="1">
      <c r="A17" s="16" t="inlineStr">
        <is>
          <t>【五】利息净收入</t>
        </is>
      </c>
    </row>
    <row r="18">
      <c r="A18" s="16" t="inlineStr">
        <is>
          <t xml:space="preserve">  利息净收入（利息收入 - 利息支出）</t>
        </is>
      </c>
      <c r="B18" s="17">
        <f>B7-B14</f>
        <v/>
      </c>
    </row>
    <row r="20" ht="24" customHeight="1">
      <c r="A20" s="18" t="inlineStr">
        <is>
          <t>【六】净息差 NIM</t>
        </is>
      </c>
    </row>
    <row r="21">
      <c r="A21" s="16" t="inlineStr">
        <is>
          <t xml:space="preserve">  NIM（利息净收入 / 平均生息资产）</t>
        </is>
      </c>
      <c r="B21" s="19">
        <f>B18/B4</f>
        <v/>
      </c>
    </row>
    <row r="23" ht="24" customHeight="1">
      <c r="A23" s="14" t="inlineStr">
        <is>
          <t>监管参考</t>
        </is>
      </c>
    </row>
    <row r="24">
      <c r="A24" s="2" t="inlineStr">
        <is>
          <t xml:space="preserve">  商业银行 NIM 合理区间（≥ 1.5%）</t>
        </is>
      </c>
    </row>
    <row r="25">
      <c r="A25" s="2" t="inlineStr">
        <is>
          <t xml:space="preserve">  是否达标</t>
        </is>
      </c>
      <c r="B25" s="20">
        <f>IF(B21&gt;=1.5%,"达标","不达标")</f>
        <v/>
      </c>
    </row>
  </sheetData>
  <mergeCells count="8">
    <mergeCell ref="A10:C10"/>
    <mergeCell ref="A13:C13"/>
    <mergeCell ref="A1:C1"/>
    <mergeCell ref="A23:C23"/>
    <mergeCell ref="A6:C6"/>
    <mergeCell ref="A17:C17"/>
    <mergeCell ref="A3:C3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</cols>
  <sheetData>
    <row r="1">
      <c r="A1" s="13" t="inlineStr">
        <is>
          <t>NIM 计量公式与监管依据</t>
        </is>
      </c>
    </row>
    <row r="2" ht="30" customHeight="1">
      <c r="A2" s="1" t="inlineStr">
        <is>
          <t>公式编号</t>
        </is>
      </c>
      <c r="B2" s="1" t="inlineStr">
        <is>
          <t>公式内容</t>
        </is>
      </c>
      <c r="C2" s="1" t="inlineStr">
        <is>
          <t>备注</t>
        </is>
      </c>
    </row>
    <row r="3" ht="30" customHeight="1">
      <c r="A3" s="21" t="inlineStr">
        <is>
          <t>1</t>
        </is>
      </c>
      <c r="B3" s="22" t="inlineStr">
        <is>
          <t>利息收入 = Σ(生息资产余额 × 资产利率)</t>
        </is>
      </c>
      <c r="C3" s="22" t="inlineStr">
        <is>
          <t>逐项累加</t>
        </is>
      </c>
    </row>
    <row r="4" ht="30" customHeight="1">
      <c r="A4" s="21" t="inlineStr">
        <is>
          <t>2</t>
        </is>
      </c>
      <c r="B4" s="22" t="inlineStr">
        <is>
          <t>利息支出 = Σ(计息负债余额 × 负债利率)</t>
        </is>
      </c>
      <c r="C4" s="22" t="inlineStr">
        <is>
          <t>逐项累加</t>
        </is>
      </c>
    </row>
    <row r="5" ht="30" customHeight="1">
      <c r="A5" s="21" t="inlineStr">
        <is>
          <t>3</t>
        </is>
      </c>
      <c r="B5" s="22" t="inlineStr">
        <is>
          <t>利息净收入 = 利息收入 - 利息支出</t>
        </is>
      </c>
      <c r="C5" s="22" t="inlineStr">
        <is>
          <t>利润表</t>
        </is>
      </c>
    </row>
    <row r="6" ht="30" customHeight="1">
      <c r="A6" s="21" t="inlineStr">
        <is>
          <t>4</t>
        </is>
      </c>
      <c r="B6" s="22" t="inlineStr">
        <is>
          <t>平均生息资产 = Σ(生息资产余额)，简化用期末余额</t>
        </is>
      </c>
      <c r="C6" s="22" t="inlineStr">
        <is>
          <t>完整公式：(期初+期末)/2</t>
        </is>
      </c>
    </row>
    <row r="7" ht="30" customHeight="1">
      <c r="A7" s="21" t="inlineStr">
        <is>
          <t>5</t>
        </is>
      </c>
      <c r="B7" s="22" t="inlineStr">
        <is>
          <t>净息差 NIM = 利息净收入 / 平均生息资产 × 100%</t>
        </is>
      </c>
      <c r="C7" s="22" t="inlineStr">
        <is>
          <t>银保监会非强制性指引</t>
        </is>
      </c>
    </row>
    <row r="8" ht="30" customHeight="1">
      <c r="A8" s="21" t="inlineStr">
        <is>
          <t>6</t>
        </is>
      </c>
      <c r="B8" s="22" t="inlineStr">
        <is>
          <t>生息资产收益率 = 利息收入 / 平均生息资产</t>
        </is>
      </c>
      <c r="C8" s="22" t="inlineStr">
        <is>
          <t>资产端</t>
        </is>
      </c>
    </row>
    <row r="9" ht="30" customHeight="1">
      <c r="A9" s="21" t="inlineStr">
        <is>
          <t>7</t>
        </is>
      </c>
      <c r="B9" s="22" t="inlineStr">
        <is>
          <t>计息负债成本率 = 利息支出 / 平均计息负债</t>
        </is>
      </c>
      <c r="C9" s="22" t="inlineStr">
        <is>
          <t>负债端</t>
        </is>
      </c>
    </row>
    <row r="10" ht="30" customHeight="1">
      <c r="A10" s="21" t="inlineStr">
        <is>
          <t>8</t>
        </is>
      </c>
      <c r="B10" s="22" t="inlineStr">
        <is>
          <t>商业银行 NIM 合理区间：1.5%~2.5%</t>
        </is>
      </c>
      <c r="C10" s="22" t="inlineStr">
        <is>
          <t>参考区间</t>
        </is>
      </c>
    </row>
    <row r="11" ht="30" customHeight="1">
      <c r="A11" s="21" t="inlineStr">
        <is>
          <t>9</t>
        </is>
      </c>
      <c r="B11" s="22" t="inlineStr">
        <is>
          <t>本模板：利息收入 ≈ 376 亿，利息支出 ≈ 226 亿，利息净收入 ≈ 150 亿</t>
        </is>
      </c>
      <c r="C11" s="22" t="inlineStr">
        <is>
          <t>中信银行 2025 年末参考值</t>
        </is>
      </c>
    </row>
    <row r="12" ht="30" customHeight="1">
      <c r="A12" s="21" t="inlineStr">
        <is>
          <t>10</t>
        </is>
      </c>
      <c r="B12" s="22" t="inlineStr">
        <is>
          <t>平均生息资产 ≈ 8,620 亿 · NIM ≈ 1.74%</t>
        </is>
      </c>
      <c r="C12" s="22" t="inlineStr">
        <is>
          <t>中信银行 2025 年末参考值</t>
        </is>
      </c>
    </row>
    <row r="13" ht="30" customHeight="1">
      <c r="A13" s="21" t="inlineStr">
        <is>
          <t>11</t>
        </is>
      </c>
      <c r="B13" s="22" t="inlineStr">
        <is>
          <t>NIM ≈ 1.74% 与拆分前 5 个指标体系（LCR/NSFR/EVE/CET1/ROE）协同</t>
        </is>
      </c>
      <c r="C13" s="22" t="inlineStr">
        <is>
          <t>基于账户册结构 + 利率配置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2026-09-30T01:42:35Z</dcterms:created>
  <dcterms:modified xmlns:dcterms="http://purl.org/dc/terms/" xmlns:xsi="http://www.w3.org/2001/XMLSchema-instance" xsi:type="dcterms:W3CDTF">2026-09-30T01:42:35Z</dcterms:modified>
</cp:coreProperties>
</file>