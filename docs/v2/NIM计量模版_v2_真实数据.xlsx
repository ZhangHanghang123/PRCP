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分母口径数据源" sheetId="1" state="visible" r:id="rId1"/>
    <sheet name="②期限分布" sheetId="2" state="visible" r:id="rId2"/>
    <sheet name="③生息资产界定" sheetId="3" state="visible" r:id="rId3"/>
    <sheet name="④计息负债明细" sheetId="4" state="visible" r:id="rId4"/>
    <sheet name="⑤NIM计量表" sheetId="5" state="visible" r:id="rId5"/>
    <sheet name="⑥NIM驱动分解" sheetId="6" state="visible" r:id="rId6"/>
    <sheet name="⑦情景敏感性" sheetId="7" state="visible" r:id="rId7"/>
    <sheet name="⑧计算逻辑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[Red]-#,##0.00"/>
    <numFmt numFmtId="165" formatCode="0.0000%"/>
    <numFmt numFmtId="166" formatCode="#,##0.0000;[Red]-#,##0.0000"/>
    <numFmt numFmtId="167" formatCode="#,##0;[Red]-#,##0"/>
    <numFmt numFmtId="168" formatCode="+0.0000%;-0.0000%;0.0000%"/>
  </numFmts>
  <fonts count="12">
    <font>
      <name val="Calibri"/>
      <family val="2"/>
      <color theme="1"/>
      <sz val="11"/>
      <scheme val="minor"/>
    </font>
    <font>
      <name val="Microsoft YaHei"/>
      <b val="1"/>
      <color rgb="001F4E78"/>
      <sz val="14"/>
    </font>
    <font>
      <name val="Microsoft YaHei"/>
      <i val="1"/>
      <color rgb="00595959"/>
      <sz val="9"/>
    </font>
    <font>
      <name val="Microsoft YaHei"/>
      <b val="1"/>
      <color rgb="00FFFFFF"/>
      <sz val="10"/>
    </font>
    <font>
      <name val="Microsoft YaHei"/>
      <sz val="10"/>
    </font>
    <font>
      <name val="Microsoft YaHei"/>
      <color rgb="000070C0"/>
      <sz val="10"/>
    </font>
    <font>
      <name val="Microsoft YaHei"/>
      <color rgb="007030A0"/>
      <sz val="10"/>
    </font>
    <font>
      <name val="Microsoft YaHei"/>
      <b val="1"/>
      <sz val="10"/>
    </font>
    <font>
      <name val="Microsoft YaHei"/>
      <b val="1"/>
      <color rgb="00C00000"/>
      <sz val="12"/>
    </font>
    <font>
      <name val="Microsoft YaHei"/>
      <b val="1"/>
      <color rgb="00C00000"/>
      <sz val="11"/>
    </font>
    <font>
      <name val="Microsoft YaHei"/>
      <b val="1"/>
      <color rgb="001F4E78"/>
      <sz val="10"/>
    </font>
    <font>
      <name val="Microsoft YaHei"/>
      <color rgb="00C55A11"/>
      <sz val="10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5" fillId="4" borderId="1" pivotButton="0" quotePrefix="0" xfId="0"/>
    <xf numFmtId="165" fontId="5" fillId="4" borderId="1" pivotButton="0" quotePrefix="0" xfId="0"/>
    <xf numFmtId="164" fontId="6" fillId="3" borderId="1" pivotButton="0" quotePrefix="0" xfId="0"/>
    <xf numFmtId="0" fontId="7" fillId="3" borderId="1" pivotButton="0" quotePrefix="0" xfId="0"/>
    <xf numFmtId="0" fontId="6" fillId="3" borderId="1" pivotButton="0" quotePrefix="0" xfId="0"/>
    <xf numFmtId="166" fontId="6" fillId="3" borderId="1" pivotButton="0" quotePrefix="0" xfId="0"/>
    <xf numFmtId="10" fontId="4" fillId="3" borderId="1" pivotButton="0" quotePrefix="0" xfId="0"/>
    <xf numFmtId="0" fontId="2" fillId="3" borderId="1" pivotButton="0" quotePrefix="0" xfId="0"/>
    <xf numFmtId="0" fontId="4" fillId="5" borderId="1" pivotButton="0" quotePrefix="0" xfId="0"/>
    <xf numFmtId="164" fontId="6" fillId="5" borderId="1" pivotButton="0" quotePrefix="0" xfId="0"/>
    <xf numFmtId="0" fontId="6" fillId="5" borderId="1" pivotButton="0" quotePrefix="0" xfId="0"/>
    <xf numFmtId="166" fontId="6" fillId="5" borderId="1" pivotButton="0" quotePrefix="0" xfId="0"/>
    <xf numFmtId="10" fontId="4" fillId="5" borderId="1" pivotButton="0" quotePrefix="0" xfId="0"/>
    <xf numFmtId="0" fontId="2" fillId="5" borderId="1" pivotButton="0" quotePrefix="0" xfId="0"/>
    <xf numFmtId="0" fontId="4" fillId="6" borderId="1" pivotButton="0" quotePrefix="0" xfId="0"/>
    <xf numFmtId="164" fontId="6" fillId="6" borderId="1" pivotButton="0" quotePrefix="0" xfId="0"/>
    <xf numFmtId="0" fontId="6" fillId="6" borderId="1" pivotButton="0" quotePrefix="0" xfId="0"/>
    <xf numFmtId="166" fontId="6" fillId="6" borderId="1" pivotButton="0" quotePrefix="0" xfId="0"/>
    <xf numFmtId="10" fontId="4" fillId="6" borderId="1" pivotButton="0" quotePrefix="0" xfId="0"/>
    <xf numFmtId="0" fontId="2" fillId="6" borderId="1" pivotButton="0" quotePrefix="0" xfId="0"/>
    <xf numFmtId="0" fontId="0" fillId="7" borderId="1" pivotButton="0" quotePrefix="0" xfId="0"/>
    <xf numFmtId="0" fontId="7" fillId="7" borderId="1" pivotButton="0" quotePrefix="0" xfId="0"/>
    <xf numFmtId="164" fontId="7" fillId="7" borderId="1" pivotButton="0" quotePrefix="0" xfId="0"/>
    <xf numFmtId="165" fontId="7" fillId="7" borderId="1" pivotButton="0" quotePrefix="0" xfId="0"/>
    <xf numFmtId="0" fontId="2" fillId="7" borderId="1" pivotButton="0" quotePrefix="0" xfId="0"/>
    <xf numFmtId="0" fontId="3" fillId="0" borderId="0" pivotButton="0" quotePrefix="0" xfId="0"/>
    <xf numFmtId="0" fontId="4" fillId="0" borderId="1" pivotButton="0" quotePrefix="0" xfId="0"/>
    <xf numFmtId="167" fontId="5" fillId="4" borderId="1" pivotButton="0" quotePrefix="0" xfId="0"/>
    <xf numFmtId="167" fontId="5" fillId="3" borderId="1" pivotButton="0" quotePrefix="0" xfId="0"/>
    <xf numFmtId="164" fontId="6" fillId="0" borderId="1" pivotButton="0" quotePrefix="0" xfId="0"/>
    <xf numFmtId="10" fontId="6" fillId="0" borderId="1" pivotButton="0" quotePrefix="0" xfId="0"/>
    <xf numFmtId="167" fontId="5" fillId="5" borderId="1" pivotButton="0" quotePrefix="0" xfId="0"/>
    <xf numFmtId="167" fontId="5" fillId="6" borderId="1" pivotButton="0" quotePrefix="0" xfId="0"/>
    <xf numFmtId="165" fontId="6" fillId="3" borderId="1" pivotButton="0" quotePrefix="0" xfId="0"/>
    <xf numFmtId="10" fontId="6" fillId="3" borderId="1" pivotButton="0" quotePrefix="0" xfId="0"/>
    <xf numFmtId="165" fontId="6" fillId="5" borderId="1" pivotButton="0" quotePrefix="0" xfId="0"/>
    <xf numFmtId="10" fontId="6" fillId="5" borderId="1" pivotButton="0" quotePrefix="0" xfId="0"/>
    <xf numFmtId="10" fontId="7" fillId="7" borderId="1" pivotButton="0" quotePrefix="0" xfId="0"/>
    <xf numFmtId="0" fontId="0" fillId="8" borderId="1" pivotButton="0" quotePrefix="0" xfId="0"/>
    <xf numFmtId="0" fontId="7" fillId="8" borderId="1" pivotButton="0" quotePrefix="0" xfId="0"/>
    <xf numFmtId="164" fontId="8" fillId="8" borderId="1" pivotButton="0" quotePrefix="0" xfId="0"/>
    <xf numFmtId="165" fontId="9" fillId="8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2" fillId="0" borderId="1" pivotButton="0" quotePrefix="0" xfId="0"/>
    <xf numFmtId="0" fontId="10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164" fontId="5" fillId="0" borderId="1" pivotButton="0" quotePrefix="0" xfId="0"/>
    <xf numFmtId="164" fontId="7" fillId="0" borderId="1" pivotButton="0" quotePrefix="0" xfId="0"/>
    <xf numFmtId="164" fontId="11" fillId="6" borderId="1" pivotButton="0" quotePrefix="0" xfId="0"/>
    <xf numFmtId="165" fontId="11" fillId="6" borderId="1" pivotButton="0" quotePrefix="0" xfId="0"/>
    <xf numFmtId="10" fontId="11" fillId="6" borderId="1" pivotButton="0" quotePrefix="0" xfId="0"/>
    <xf numFmtId="0" fontId="0" fillId="6" borderId="1" pivotButton="0" quotePrefix="0" xfId="0"/>
    <xf numFmtId="10" fontId="9" fillId="8" borderId="1" pivotButton="0" quotePrefix="0" xfId="0"/>
    <xf numFmtId="164" fontId="9" fillId="8" borderId="1" pivotButton="0" quotePrefix="0" xfId="0"/>
    <xf numFmtId="10" fontId="6" fillId="8" borderId="1" pivotButton="0" quotePrefix="0" xfId="0"/>
    <xf numFmtId="0" fontId="2" fillId="8" borderId="1" pivotButton="0" quotePrefix="0" xfId="0"/>
    <xf numFmtId="165" fontId="8" fillId="8" borderId="1" pivotButton="0" quotePrefix="0" xfId="0"/>
    <xf numFmtId="165" fontId="6" fillId="0" borderId="1" pivotButton="0" quotePrefix="0" xfId="0"/>
    <xf numFmtId="166" fontId="6" fillId="0" borderId="1" pivotButton="0" quotePrefix="0" xfId="0"/>
    <xf numFmtId="165" fontId="9" fillId="7" borderId="1" pivotButton="0" quotePrefix="0" xfId="0"/>
    <xf numFmtId="168" fontId="6" fillId="0" borderId="1" pivotButton="0" quotePrefix="0" xfId="0"/>
    <xf numFmtId="166" fontId="9" fillId="8" borderId="1" pivotButton="0" quotePrefix="0" xfId="0"/>
    <xf numFmtId="168" fontId="6" fillId="8" borderId="1" pivotButton="0" quotePrefix="0" xfId="0"/>
    <xf numFmtId="165" fontId="6" fillId="8" borderId="1" pivotButton="0" quotePrefix="0" xfId="0"/>
    <xf numFmtId="10" fontId="5" fillId="0" borderId="1" pivotButton="0" quotePrefix="0" xfId="0"/>
    <xf numFmtId="49" fontId="6" fillId="0" borderId="1" pivotButton="0" quotePrefix="0" xfId="0"/>
    <xf numFmtId="10" fontId="6" fillId="6" borderId="1" pivotButton="0" quotePrefix="0" xfId="0"/>
    <xf numFmtId="165" fontId="6" fillId="6" borderId="1" pivotButton="0" quotePrefix="0" xfId="0"/>
    <xf numFmtId="0" fontId="9" fillId="8" borderId="1" pivotButton="0" quotePrefix="0" xfId="0"/>
    <xf numFmtId="168" fontId="9" fillId="8" borderId="1" pivotButton="0" quotePrefix="0" xfId="0"/>
    <xf numFmtId="167" fontId="5" fillId="0" borderId="1" pivotButton="0" quotePrefix="0" xfId="0"/>
    <xf numFmtId="164" fontId="11" fillId="0" borderId="1" pivotButton="0" quotePrefix="0" xfId="0"/>
    <xf numFmtId="168" fontId="7" fillId="7" borderId="1" pivotButton="0" quotePrefix="0" xfId="0"/>
    <xf numFmtId="164" fontId="6" fillId="8" borderId="1" pivotButton="0" quotePrefix="0" xfId="0"/>
    <xf numFmtId="0" fontId="6" fillId="8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6" customWidth="1" min="2" max="2"/>
    <col width="8" customWidth="1" min="3" max="3"/>
    <col width="12" customWidth="1" min="4" max="4"/>
    <col width="9" customWidth="1" min="5" max="5"/>
    <col width="13" customWidth="1" min="6" max="6"/>
    <col width="11" customWidth="1" min="7" max="7"/>
    <col width="14" customWidth="1" min="8" max="8"/>
    <col width="12" customWidth="1" min="9" max="9"/>
    <col width="12" customWidth="1" min="10" max="10"/>
    <col width="11" customWidth="1" min="11" max="11"/>
    <col width="13" customWidth="1" min="12" max="12"/>
    <col width="10" customWidth="1" min="13" max="13"/>
    <col width="10" customWidth="1" min="14" max="14"/>
    <col width="40" customWidth="1" min="15" max="15"/>
  </cols>
  <sheetData>
    <row r="1">
      <c r="A1" s="1" t="inlineStr">
        <is>
          <t>① 分母口径数据源 — 取自 prcp_basic_20251231.xlsx「基础数据」（方案 8 / 2025-12-31）</t>
        </is>
      </c>
    </row>
    <row r="2">
      <c r="A2" s="2" t="inlineStr">
        <is>
          <t>🟢 绿区(蓝字) = 可编辑  |  🟣 紫字 = 自动计算  |  ★分母归属 = 生息资产(EA) / 非生息(NEA)，决定该账户是否进入 NIM 分母  |  年度利息 = 余额 × 加权平均利率（= 参照物 EM × 12）</t>
        </is>
      </c>
    </row>
    <row r="3" ht="34" customHeight="1">
      <c r="A3" s="3" t="inlineStr">
        <is>
          <t>账户编码</t>
        </is>
      </c>
      <c r="B3" s="3" t="inlineStr">
        <is>
          <t>账户名称</t>
        </is>
      </c>
      <c r="C3" s="3" t="inlineStr">
        <is>
          <t>大类</t>
        </is>
      </c>
      <c r="D3" s="3" t="inlineStr">
        <is>
          <t>业务条线</t>
        </is>
      </c>
      <c r="E3" s="3" t="inlineStr">
        <is>
          <t>账户类型</t>
        </is>
      </c>
      <c r="F3" s="3" t="inlineStr">
        <is>
          <t>当前余额
(亿元)</t>
        </is>
      </c>
      <c r="G3" s="3" t="inlineStr">
        <is>
          <t>加权平均
利率</t>
        </is>
      </c>
      <c r="H3" s="3" t="inlineStr">
        <is>
          <t>年度利息
(亿元/年)</t>
        </is>
      </c>
      <c r="I3" s="3" t="inlineStr">
        <is>
          <t>★分母归属</t>
        </is>
      </c>
      <c r="J3" s="3" t="inlineStr">
        <is>
          <t>是否生息资产</t>
        </is>
      </c>
      <c r="K3" s="3" t="inlineStr">
        <is>
          <t>计息负债</t>
        </is>
      </c>
      <c r="L3" s="3" t="inlineStr">
        <is>
          <t>1年内到期
(亿元)</t>
        </is>
      </c>
      <c r="M3" s="3" t="inlineStr">
        <is>
          <t>重定价β</t>
        </is>
      </c>
      <c r="N3" s="3" t="inlineStr">
        <is>
          <t>风险权重</t>
        </is>
      </c>
      <c r="O3" s="3" t="inlineStr">
        <is>
          <t>口径说明</t>
        </is>
      </c>
    </row>
    <row r="4">
      <c r="A4" s="4" t="inlineStr">
        <is>
          <t>S01010101000000</t>
        </is>
      </c>
      <c r="B4" s="4" t="inlineStr">
        <is>
          <t>1.1. 对公一般贷款</t>
        </is>
      </c>
      <c r="C4" s="4" t="inlineStr">
        <is>
          <t>资产</t>
        </is>
      </c>
      <c r="D4" s="4" t="inlineStr">
        <is>
          <t>信贷资产</t>
        </is>
      </c>
      <c r="E4" s="4" t="inlineStr">
        <is>
          <t>信贷</t>
        </is>
      </c>
      <c r="F4" s="5" t="n">
        <v>245000</v>
      </c>
      <c r="G4" s="6" t="n">
        <v>0.04099999999999999</v>
      </c>
      <c r="H4" s="7">
        <f>F4*G4</f>
        <v/>
      </c>
      <c r="I4" s="8" t="inlineStr">
        <is>
          <t>EA</t>
        </is>
      </c>
      <c r="J4" s="9">
        <f>IF(AND($C4="资产",$G4&gt;0),"是","否")</f>
        <v/>
      </c>
      <c r="K4" s="9">
        <f>IF($C4="负债","是","否")</f>
        <v/>
      </c>
      <c r="L4" s="7">
        <f>'②期限分布'!BO4</f>
        <v/>
      </c>
      <c r="M4" s="10">
        <f>IF('②期限分布'!BP4=0,0,MIN(0.98,MAX(0.1,'②期限分布'!BO4/'②期限分布'!BP4)))</f>
        <v/>
      </c>
      <c r="N4" s="11" t="n">
        <v>100</v>
      </c>
      <c r="O4" s="12" t="inlineStr">
        <is>
          <t>产生利息收入 → 计入 NIM 分母</t>
        </is>
      </c>
    </row>
    <row r="5">
      <c r="A5" s="4" t="inlineStr">
        <is>
          <t>S01010102000000</t>
        </is>
      </c>
      <c r="B5" s="4" t="inlineStr">
        <is>
          <t>1.2. 个人贷款</t>
        </is>
      </c>
      <c r="C5" s="4" t="inlineStr">
        <is>
          <t>资产</t>
        </is>
      </c>
      <c r="D5" s="4" t="inlineStr">
        <is>
          <t>信贷资产</t>
        </is>
      </c>
      <c r="E5" s="4" t="inlineStr">
        <is>
          <t>信贷</t>
        </is>
      </c>
      <c r="F5" s="5" t="n">
        <v>175000</v>
      </c>
      <c r="G5" s="6" t="n">
        <v>0.0395</v>
      </c>
      <c r="H5" s="7">
        <f>F5*G5</f>
        <v/>
      </c>
      <c r="I5" s="8" t="inlineStr">
        <is>
          <t>EA</t>
        </is>
      </c>
      <c r="J5" s="9">
        <f>IF(AND($C5="资产",$G5&gt;0),"是","否")</f>
        <v/>
      </c>
      <c r="K5" s="9">
        <f>IF($C5="负债","是","否")</f>
        <v/>
      </c>
      <c r="L5" s="7">
        <f>'②期限分布'!BO5</f>
        <v/>
      </c>
      <c r="M5" s="10">
        <f>IF('②期限分布'!BP5=0,0,MIN(0.98,MAX(0.1,'②期限分布'!BO5/'②期限分布'!BP5)))</f>
        <v/>
      </c>
      <c r="N5" s="11" t="n">
        <v>55</v>
      </c>
      <c r="O5" s="12" t="inlineStr">
        <is>
          <t>产生利息收入 → 计入 NIM 分母</t>
        </is>
      </c>
    </row>
    <row r="6">
      <c r="A6" s="4" t="inlineStr">
        <is>
          <t>S01010103000000</t>
        </is>
      </c>
      <c r="B6" s="4" t="inlineStr">
        <is>
          <t>1.3. 信用卡贷款</t>
        </is>
      </c>
      <c r="C6" s="4" t="inlineStr">
        <is>
          <t>资产</t>
        </is>
      </c>
      <c r="D6" s="4" t="inlineStr">
        <is>
          <t>信贷资产</t>
        </is>
      </c>
      <c r="E6" s="4" t="inlineStr">
        <is>
          <t>信贷</t>
        </is>
      </c>
      <c r="F6" s="5" t="n">
        <v>48000</v>
      </c>
      <c r="G6" s="6" t="n">
        <v>0.12</v>
      </c>
      <c r="H6" s="7">
        <f>F6*G6</f>
        <v/>
      </c>
      <c r="I6" s="8" t="inlineStr">
        <is>
          <t>EA</t>
        </is>
      </c>
      <c r="J6" s="9">
        <f>IF(AND($C6="资产",$G6&gt;0),"是","否")</f>
        <v/>
      </c>
      <c r="K6" s="9">
        <f>IF($C6="负债","是","否")</f>
        <v/>
      </c>
      <c r="L6" s="7">
        <f>'②期限分布'!BO6</f>
        <v/>
      </c>
      <c r="M6" s="10">
        <f>IF('②期限分布'!BP6=0,0,MIN(0.98,MAX(0.1,'②期限分布'!BO6/'②期限分布'!BP6)))</f>
        <v/>
      </c>
      <c r="N6" s="11" t="n">
        <v>75</v>
      </c>
      <c r="O6" s="12" t="inlineStr">
        <is>
          <t>产生利息收入 → 计入 NIM 分母</t>
        </is>
      </c>
    </row>
    <row r="7">
      <c r="A7" s="4" t="inlineStr">
        <is>
          <t>S01010104000000</t>
        </is>
      </c>
      <c r="B7" s="4" t="inlineStr">
        <is>
          <t>1.4. 票据贴现</t>
        </is>
      </c>
      <c r="C7" s="4" t="inlineStr">
        <is>
          <t>资产</t>
        </is>
      </c>
      <c r="D7" s="4" t="inlineStr">
        <is>
          <t>信贷资产</t>
        </is>
      </c>
      <c r="E7" s="4" t="inlineStr">
        <is>
          <t>信贷</t>
        </is>
      </c>
      <c r="F7" s="5" t="n">
        <v>32000</v>
      </c>
      <c r="G7" s="6" t="n">
        <v>0.025</v>
      </c>
      <c r="H7" s="7">
        <f>F7*G7</f>
        <v/>
      </c>
      <c r="I7" s="8" t="inlineStr">
        <is>
          <t>EA</t>
        </is>
      </c>
      <c r="J7" s="9">
        <f>IF(AND($C7="资产",$G7&gt;0),"是","否")</f>
        <v/>
      </c>
      <c r="K7" s="9">
        <f>IF($C7="负债","是","否")</f>
        <v/>
      </c>
      <c r="L7" s="7">
        <f>'②期限分布'!BO7</f>
        <v/>
      </c>
      <c r="M7" s="10">
        <f>IF('②期限分布'!BP7=0,0,MIN(0.98,MAX(0.1,'②期限分布'!BO7/'②期限分布'!BP7)))</f>
        <v/>
      </c>
      <c r="N7" s="11" t="n">
        <v>100</v>
      </c>
      <c r="O7" s="12" t="inlineStr">
        <is>
          <t>产生利息收入 → 计入 NIM 分母</t>
        </is>
      </c>
    </row>
    <row r="8">
      <c r="A8" s="4" t="inlineStr">
        <is>
          <t>S01010105000000</t>
        </is>
      </c>
      <c r="B8" s="4" t="inlineStr">
        <is>
          <t>1.5. 非银贷款</t>
        </is>
      </c>
      <c r="C8" s="4" t="inlineStr">
        <is>
          <t>资产</t>
        </is>
      </c>
      <c r="D8" s="4" t="inlineStr">
        <is>
          <t>信贷资产</t>
        </is>
      </c>
      <c r="E8" s="4" t="inlineStr">
        <is>
          <t>信贷</t>
        </is>
      </c>
      <c r="F8" s="5" t="n">
        <v>50000</v>
      </c>
      <c r="G8" s="6" t="n">
        <v>0.045</v>
      </c>
      <c r="H8" s="7">
        <f>F8*G8</f>
        <v/>
      </c>
      <c r="I8" s="8" t="inlineStr">
        <is>
          <t>EA</t>
        </is>
      </c>
      <c r="J8" s="9">
        <f>IF(AND($C8="资产",$G8&gt;0),"是","否")</f>
        <v/>
      </c>
      <c r="K8" s="9">
        <f>IF($C8="负债","是","否")</f>
        <v/>
      </c>
      <c r="L8" s="7">
        <f>'②期限分布'!BO8</f>
        <v/>
      </c>
      <c r="M8" s="10">
        <f>IF('②期限分布'!BP8=0,0,MIN(0.98,MAX(0.1,'②期限分布'!BO8/'②期限分布'!BP8)))</f>
        <v/>
      </c>
      <c r="N8" s="11" t="n">
        <v>100</v>
      </c>
      <c r="O8" s="12" t="inlineStr">
        <is>
          <t>产生利息收入 → 计入 NIM 分母</t>
        </is>
      </c>
    </row>
    <row r="9">
      <c r="A9" s="4" t="inlineStr">
        <is>
          <t>S010102010100</t>
        </is>
      </c>
      <c r="B9" s="4" t="inlineStr">
        <is>
          <t>2.1.1 金市自营债券</t>
        </is>
      </c>
      <c r="C9" s="4" t="inlineStr">
        <is>
          <t>资产</t>
        </is>
      </c>
      <c r="D9" s="4" t="inlineStr">
        <is>
          <t>债券投资</t>
        </is>
      </c>
      <c r="E9" s="4" t="inlineStr">
        <is>
          <t>投资</t>
        </is>
      </c>
      <c r="F9" s="5" t="n">
        <v>150000</v>
      </c>
      <c r="G9" s="6" t="n">
        <v>0.0255</v>
      </c>
      <c r="H9" s="7">
        <f>F9*G9</f>
        <v/>
      </c>
      <c r="I9" s="8" t="inlineStr">
        <is>
          <t>EA</t>
        </is>
      </c>
      <c r="J9" s="9">
        <f>IF(AND($C9="资产",$G9&gt;0),"是","否")</f>
        <v/>
      </c>
      <c r="K9" s="9">
        <f>IF($C9="负债","是","否")</f>
        <v/>
      </c>
      <c r="L9" s="7">
        <f>'②期限分布'!BO9</f>
        <v/>
      </c>
      <c r="M9" s="10">
        <f>IF('②期限分布'!BP9=0,0,MIN(0.98,MAX(0.1,'②期限分布'!BO9/'②期限分布'!BP9)))</f>
        <v/>
      </c>
      <c r="N9" s="11" t="n">
        <v>0</v>
      </c>
      <c r="O9" s="12" t="inlineStr">
        <is>
          <t>票息收入 → 计入 NIM 分母（FVTPL 票息 0 则不计入）</t>
        </is>
      </c>
    </row>
    <row r="10">
      <c r="A10" s="4" t="inlineStr">
        <is>
          <t>S010102010200</t>
        </is>
      </c>
      <c r="B10" s="4" t="inlineStr">
        <is>
          <t>2.1.2 司库债券</t>
        </is>
      </c>
      <c r="C10" s="4" t="inlineStr">
        <is>
          <t>资产</t>
        </is>
      </c>
      <c r="D10" s="4" t="inlineStr">
        <is>
          <t>债券投资</t>
        </is>
      </c>
      <c r="E10" s="4" t="inlineStr">
        <is>
          <t>投资</t>
        </is>
      </c>
      <c r="F10" s="5" t="n">
        <v>100000</v>
      </c>
      <c r="G10" s="6" t="n">
        <v>0.0285</v>
      </c>
      <c r="H10" s="7">
        <f>F10*G10</f>
        <v/>
      </c>
      <c r="I10" s="8" t="inlineStr">
        <is>
          <t>EA</t>
        </is>
      </c>
      <c r="J10" s="9">
        <f>IF(AND($C10="资产",$G10&gt;0),"是","否")</f>
        <v/>
      </c>
      <c r="K10" s="9">
        <f>IF($C10="负债","是","否")</f>
        <v/>
      </c>
      <c r="L10" s="7">
        <f>'②期限分布'!BO10</f>
        <v/>
      </c>
      <c r="M10" s="10">
        <f>IF('②期限分布'!BP10=0,0,MIN(0.98,MAX(0.1,'②期限分布'!BO10/'②期限分布'!BP10)))</f>
        <v/>
      </c>
      <c r="N10" s="11" t="n">
        <v>25</v>
      </c>
      <c r="O10" s="12" t="inlineStr">
        <is>
          <t>票息收入 → 计入 NIM 分母（FVTPL 票息 0 则不计入）</t>
        </is>
      </c>
    </row>
    <row r="11">
      <c r="A11" s="4" t="inlineStr">
        <is>
          <t>S01010202000000</t>
        </is>
      </c>
      <c r="B11" s="4" t="inlineStr">
        <is>
          <t>2.2. 结构化融资</t>
        </is>
      </c>
      <c r="C11" s="4" t="inlineStr">
        <is>
          <t>资产</t>
        </is>
      </c>
      <c r="D11" s="4" t="inlineStr">
        <is>
          <t>金融市场</t>
        </is>
      </c>
      <c r="E11" s="4" t="inlineStr">
        <is>
          <t>金融</t>
        </is>
      </c>
      <c r="F11" s="5" t="n">
        <v>50000</v>
      </c>
      <c r="G11" s="6" t="n">
        <v>0.038</v>
      </c>
      <c r="H11" s="7">
        <f>F11*G11</f>
        <v/>
      </c>
      <c r="I11" s="8" t="inlineStr">
        <is>
          <t>EA</t>
        </is>
      </c>
      <c r="J11" s="9">
        <f>IF(AND($C11="资产",$G11&gt;0),"是","否")</f>
        <v/>
      </c>
      <c r="K11" s="9">
        <f>IF($C11="负债","是","否")</f>
        <v/>
      </c>
      <c r="L11" s="7">
        <f>'②期限分布'!BO11</f>
        <v/>
      </c>
      <c r="M11" s="10">
        <f>IF('②期限分布'!BP11=0,0,MIN(0.98,MAX(0.1,'②期限分布'!BO11/'②期限分布'!BP11)))</f>
        <v/>
      </c>
      <c r="N11" s="11" t="n">
        <v>100</v>
      </c>
      <c r="O11" s="12" t="inlineStr">
        <is>
          <t>同业/准备金/结构化利息收入 → 计入分母</t>
        </is>
      </c>
    </row>
    <row r="12">
      <c r="A12" s="4" t="inlineStr">
        <is>
          <t>S01010203000000</t>
        </is>
      </c>
      <c r="B12" s="4" t="inlineStr">
        <is>
          <t>2.3. 同业资产（不含拆放非银）</t>
        </is>
      </c>
      <c r="C12" s="4" t="inlineStr">
        <is>
          <t>资产</t>
        </is>
      </c>
      <c r="D12" s="4" t="inlineStr">
        <is>
          <t>金融市场</t>
        </is>
      </c>
      <c r="E12" s="4" t="inlineStr">
        <is>
          <t>金融</t>
        </is>
      </c>
      <c r="F12" s="5" t="n">
        <v>70000</v>
      </c>
      <c r="G12" s="6" t="n">
        <v>0.023</v>
      </c>
      <c r="H12" s="7">
        <f>F12*G12</f>
        <v/>
      </c>
      <c r="I12" s="8" t="inlineStr">
        <is>
          <t>EA</t>
        </is>
      </c>
      <c r="J12" s="9">
        <f>IF(AND($C12="资产",$G12&gt;0),"是","否")</f>
        <v/>
      </c>
      <c r="K12" s="9">
        <f>IF($C12="负债","是","否")</f>
        <v/>
      </c>
      <c r="L12" s="7">
        <f>'②期限分布'!BO12</f>
        <v/>
      </c>
      <c r="M12" s="10">
        <f>IF('②期限分布'!BP12=0,0,MIN(0.98,MAX(0.1,'②期限分布'!BO12/'②期限分布'!BP12)))</f>
        <v/>
      </c>
      <c r="N12" s="11" t="n">
        <v>20</v>
      </c>
      <c r="O12" s="12" t="inlineStr">
        <is>
          <t>同业/准备金/结构化利息收入 → 计入分母</t>
        </is>
      </c>
    </row>
    <row r="13">
      <c r="A13" s="4" t="inlineStr">
        <is>
          <t>S01010204000000</t>
        </is>
      </c>
      <c r="B13" s="4" t="inlineStr">
        <is>
          <t>2.4. 存款准备金</t>
        </is>
      </c>
      <c r="C13" s="4" t="inlineStr">
        <is>
          <t>资产</t>
        </is>
      </c>
      <c r="D13" s="4" t="inlineStr">
        <is>
          <t>金融市场</t>
        </is>
      </c>
      <c r="E13" s="4" t="inlineStr">
        <is>
          <t>金融</t>
        </is>
      </c>
      <c r="F13" s="5" t="n">
        <v>30000</v>
      </c>
      <c r="G13" s="6" t="n">
        <v>0.0162</v>
      </c>
      <c r="H13" s="7">
        <f>F13*G13</f>
        <v/>
      </c>
      <c r="I13" s="8" t="inlineStr">
        <is>
          <t>EA</t>
        </is>
      </c>
      <c r="J13" s="9">
        <f>IF(AND($C13="资产",$G13&gt;0),"是","否")</f>
        <v/>
      </c>
      <c r="K13" s="9">
        <f>IF($C13="负债","是","否")</f>
        <v/>
      </c>
      <c r="L13" s="7">
        <f>'②期限分布'!BO13</f>
        <v/>
      </c>
      <c r="M13" s="10">
        <f>IF('②期限分布'!BP13=0,0,MIN(0.98,MAX(0.1,'②期限分布'!BO13/'②期限分布'!BP13)))</f>
        <v/>
      </c>
      <c r="N13" s="11" t="n">
        <v>0</v>
      </c>
      <c r="O13" s="12" t="inlineStr">
        <is>
          <t>同业/准备金/结构化利息收入 → 计入分母</t>
        </is>
      </c>
    </row>
    <row r="14">
      <c r="A14" s="4" t="inlineStr">
        <is>
          <t>S01010301000000</t>
        </is>
      </c>
      <c r="B14" s="4" t="inlineStr">
        <is>
          <t>3.1. FVTPL类资产</t>
        </is>
      </c>
      <c r="C14" s="4" t="inlineStr">
        <is>
          <t>资产</t>
        </is>
      </c>
      <c r="D14" s="4" t="inlineStr">
        <is>
          <t>非生息资产</t>
        </is>
      </c>
      <c r="E14" s="4" t="inlineStr">
        <is>
          <t>非息</t>
        </is>
      </c>
      <c r="F14" s="5" t="n">
        <v>30000</v>
      </c>
      <c r="G14" s="6" t="n">
        <v>0.032</v>
      </c>
      <c r="H14" s="7">
        <f>F14*G14</f>
        <v/>
      </c>
      <c r="I14" s="8" t="inlineStr">
        <is>
          <t>EA</t>
        </is>
      </c>
      <c r="J14" s="9">
        <f>IF(AND($C14="资产",$G14&gt;0),"是","否")</f>
        <v/>
      </c>
      <c r="K14" s="9">
        <f>IF($C14="负债","是","否")</f>
        <v/>
      </c>
      <c r="L14" s="7">
        <f>'②期限分布'!BO14</f>
        <v/>
      </c>
      <c r="M14" s="10">
        <f>IF('②期限分布'!BP14=0,0,MIN(0.98,MAX(0.1,'②期限分布'!BO14/'②期限分布'!BP14)))</f>
        <v/>
      </c>
      <c r="N14" s="11" t="n">
        <v>100</v>
      </c>
      <c r="O14" s="12" t="inlineStr">
        <is>
          <t>利率 0% → 不计入 NIM 分母，但计入总资产</t>
        </is>
      </c>
    </row>
    <row r="15">
      <c r="A15" s="13" t="inlineStr">
        <is>
          <t>S01010302000000</t>
        </is>
      </c>
      <c r="B15" s="13" t="inlineStr">
        <is>
          <t>3.2. 其他非生息资产</t>
        </is>
      </c>
      <c r="C15" s="13" t="inlineStr">
        <is>
          <t>资产</t>
        </is>
      </c>
      <c r="D15" s="13" t="inlineStr">
        <is>
          <t>非生息资产</t>
        </is>
      </c>
      <c r="E15" s="13" t="inlineStr">
        <is>
          <t>非息</t>
        </is>
      </c>
      <c r="F15" s="5" t="n">
        <v>20000</v>
      </c>
      <c r="G15" s="6" t="n">
        <v>0</v>
      </c>
      <c r="H15" s="14">
        <f>F15*G15</f>
        <v/>
      </c>
      <c r="I15" s="13" t="inlineStr">
        <is>
          <t>NEA</t>
        </is>
      </c>
      <c r="J15" s="15">
        <f>IF(AND($C15="资产",$G15&gt;0),"是","否")</f>
        <v/>
      </c>
      <c r="K15" s="15">
        <f>IF($C15="负债","是","否")</f>
        <v/>
      </c>
      <c r="L15" s="14">
        <f>'②期限分布'!BO15</f>
        <v/>
      </c>
      <c r="M15" s="16">
        <f>IF('②期限分布'!BP15=0,0,MIN(0.98,MAX(0.1,'②期限分布'!BO15/'②期限分布'!BP15)))</f>
        <v/>
      </c>
      <c r="N15" s="17" t="n">
        <v>50</v>
      </c>
      <c r="O15" s="18" t="inlineStr">
        <is>
          <t>利率 0% → 不计入 NIM 分母，但计入总资产</t>
        </is>
      </c>
    </row>
    <row r="16">
      <c r="A16" s="4" t="inlineStr">
        <is>
          <t>S01020100000000</t>
        </is>
      </c>
      <c r="B16" s="4" t="inlineStr">
        <is>
          <t>1. 外币贷款</t>
        </is>
      </c>
      <c r="C16" s="4" t="inlineStr">
        <is>
          <t>资产</t>
        </is>
      </c>
      <c r="D16" s="4" t="inlineStr">
        <is>
          <t>外币资产</t>
        </is>
      </c>
      <c r="E16" s="4" t="inlineStr">
        <is>
          <t>外币</t>
        </is>
      </c>
      <c r="F16" s="5" t="n">
        <v>40000</v>
      </c>
      <c r="G16" s="6" t="n">
        <v>0.048</v>
      </c>
      <c r="H16" s="7">
        <f>F16*G16</f>
        <v/>
      </c>
      <c r="I16" s="8" t="inlineStr">
        <is>
          <t>EA</t>
        </is>
      </c>
      <c r="J16" s="9">
        <f>IF(AND($C16="资产",$G16&gt;0),"是","否")</f>
        <v/>
      </c>
      <c r="K16" s="9">
        <f>IF($C16="负债","是","否")</f>
        <v/>
      </c>
      <c r="L16" s="7">
        <f>'②期限分布'!BO16</f>
        <v/>
      </c>
      <c r="M16" s="10">
        <f>IF('②期限分布'!BP16=0,0,MIN(0.98,MAX(0.1,'②期限分布'!BO16/'②期限分布'!BP16)))</f>
        <v/>
      </c>
      <c r="N16" s="11" t="n">
        <v>100</v>
      </c>
      <c r="O16" s="12" t="inlineStr">
        <is>
          <t>折人民币利息收入 → 计入分母</t>
        </is>
      </c>
    </row>
    <row r="17">
      <c r="A17" s="4" t="inlineStr">
        <is>
          <t>S01020201000000</t>
        </is>
      </c>
      <c r="B17" s="4" t="inlineStr">
        <is>
          <t>2.1. 外币债券</t>
        </is>
      </c>
      <c r="C17" s="4" t="inlineStr">
        <is>
          <t>资产</t>
        </is>
      </c>
      <c r="D17" s="4" t="inlineStr">
        <is>
          <t>外币资产</t>
        </is>
      </c>
      <c r="E17" s="4" t="inlineStr">
        <is>
          <t>外币</t>
        </is>
      </c>
      <c r="F17" s="5" t="n">
        <v>20000</v>
      </c>
      <c r="G17" s="6" t="n">
        <v>0.035</v>
      </c>
      <c r="H17" s="7">
        <f>F17*G17</f>
        <v/>
      </c>
      <c r="I17" s="8" t="inlineStr">
        <is>
          <t>EA</t>
        </is>
      </c>
      <c r="J17" s="9">
        <f>IF(AND($C17="资产",$G17&gt;0),"是","否")</f>
        <v/>
      </c>
      <c r="K17" s="9">
        <f>IF($C17="负债","是","否")</f>
        <v/>
      </c>
      <c r="L17" s="7">
        <f>'②期限分布'!BO17</f>
        <v/>
      </c>
      <c r="M17" s="10">
        <f>IF('②期限分布'!BP17=0,0,MIN(0.98,MAX(0.1,'②期限分布'!BO17/'②期限分布'!BP17)))</f>
        <v/>
      </c>
      <c r="N17" s="11" t="n">
        <v>50</v>
      </c>
      <c r="O17" s="12" t="inlineStr">
        <is>
          <t>折人民币利息收入 → 计入分母</t>
        </is>
      </c>
    </row>
    <row r="18">
      <c r="A18" s="4" t="inlineStr">
        <is>
          <t>S01020202000000</t>
        </is>
      </c>
      <c r="B18" s="4" t="inlineStr">
        <is>
          <t>2.2. 同业资产</t>
        </is>
      </c>
      <c r="C18" s="4" t="inlineStr">
        <is>
          <t>资产</t>
        </is>
      </c>
      <c r="D18" s="4" t="inlineStr">
        <is>
          <t>金融市场</t>
        </is>
      </c>
      <c r="E18" s="4" t="inlineStr">
        <is>
          <t>金融</t>
        </is>
      </c>
      <c r="F18" s="5" t="n">
        <v>10000</v>
      </c>
      <c r="G18" s="6" t="n">
        <v>0.043</v>
      </c>
      <c r="H18" s="7">
        <f>F18*G18</f>
        <v/>
      </c>
      <c r="I18" s="8" t="inlineStr">
        <is>
          <t>EA</t>
        </is>
      </c>
      <c r="J18" s="9">
        <f>IF(AND($C18="资产",$G18&gt;0),"是","否")</f>
        <v/>
      </c>
      <c r="K18" s="9">
        <f>IF($C18="负债","是","否")</f>
        <v/>
      </c>
      <c r="L18" s="7">
        <f>'②期限分布'!BO18</f>
        <v/>
      </c>
      <c r="M18" s="10">
        <f>IF('②期限分布'!BP18=0,0,MIN(0.98,MAX(0.1,'②期限分布'!BO18/'②期限分布'!BP18)))</f>
        <v/>
      </c>
      <c r="N18" s="11" t="n">
        <v>20</v>
      </c>
      <c r="O18" s="12" t="inlineStr">
        <is>
          <t>同业/准备金/结构化利息收入 → 计入分母</t>
        </is>
      </c>
    </row>
    <row r="19">
      <c r="A19" s="13" t="inlineStr">
        <is>
          <t>S01020300000000</t>
        </is>
      </c>
      <c r="B19" s="13" t="inlineStr">
        <is>
          <t>3. 外币非生息资产</t>
        </is>
      </c>
      <c r="C19" s="13" t="inlineStr">
        <is>
          <t>资产</t>
        </is>
      </c>
      <c r="D19" s="13" t="inlineStr">
        <is>
          <t>外币资产</t>
        </is>
      </c>
      <c r="E19" s="13" t="inlineStr">
        <is>
          <t>外币</t>
        </is>
      </c>
      <c r="F19" s="5" t="n">
        <v>10000</v>
      </c>
      <c r="G19" s="6" t="n">
        <v>0</v>
      </c>
      <c r="H19" s="14">
        <f>F19*G19</f>
        <v/>
      </c>
      <c r="I19" s="13" t="inlineStr">
        <is>
          <t>NEA</t>
        </is>
      </c>
      <c r="J19" s="15">
        <f>IF(AND($C19="资产",$G19&gt;0),"是","否")</f>
        <v/>
      </c>
      <c r="K19" s="15">
        <f>IF($C19="负债","是","否")</f>
        <v/>
      </c>
      <c r="L19" s="14">
        <f>'②期限分布'!BO19</f>
        <v/>
      </c>
      <c r="M19" s="16">
        <f>IF('②期限分布'!BP19=0,0,MIN(0.98,MAX(0.1,'②期限分布'!BO19/'②期限分布'!BP19)))</f>
        <v/>
      </c>
      <c r="N19" s="17" t="n">
        <v>50</v>
      </c>
      <c r="O19" s="18" t="inlineStr">
        <is>
          <t>折人民币利息收入 → 计入分母</t>
        </is>
      </c>
    </row>
    <row r="20">
      <c r="A20" s="19" t="inlineStr">
        <is>
          <t>S020101010100</t>
        </is>
      </c>
      <c r="B20" s="19" t="inlineStr">
        <is>
          <t>1.1.1 对公活期存款</t>
        </is>
      </c>
      <c r="C20" s="19" t="inlineStr">
        <is>
          <t>负债</t>
        </is>
      </c>
      <c r="D20" s="19" t="inlineStr">
        <is>
          <t>活期存款</t>
        </is>
      </c>
      <c r="E20" s="19" t="inlineStr">
        <is>
          <t>活期</t>
        </is>
      </c>
      <c r="F20" s="5" t="n">
        <v>260000</v>
      </c>
      <c r="G20" s="6" t="n">
        <v>0.002</v>
      </c>
      <c r="H20" s="20">
        <f>F20*G20</f>
        <v/>
      </c>
      <c r="I20" s="19" t="inlineStr">
        <is>
          <t>-</t>
        </is>
      </c>
      <c r="J20" s="21">
        <f>IF(AND($C20="资产",$G20&gt;0),"是","否")</f>
        <v/>
      </c>
      <c r="K20" s="21">
        <f>IF($C20="负债","是","否")</f>
        <v/>
      </c>
      <c r="L20" s="20">
        <f>'②期限分布'!BO20</f>
        <v/>
      </c>
      <c r="M20" s="22">
        <f>IF('②期限分布'!BP20=0,0,MIN(0.98,MAX(0.1,'②期限分布'!BO20/'②期限分布'!BP20)))</f>
        <v/>
      </c>
      <c r="N20" s="23" t="n">
        <v>0</v>
      </c>
      <c r="O20" s="24" t="inlineStr">
        <is>
          <t>计息负债，付息成本进入分子</t>
        </is>
      </c>
    </row>
    <row r="21">
      <c r="A21" s="19" t="inlineStr">
        <is>
          <t>S020101010200</t>
        </is>
      </c>
      <c r="B21" s="19" t="inlineStr">
        <is>
          <t>1.1.2 对公定期存款</t>
        </is>
      </c>
      <c r="C21" s="19" t="inlineStr">
        <is>
          <t>负债</t>
        </is>
      </c>
      <c r="D21" s="19" t="inlineStr">
        <is>
          <t>定期存款</t>
        </is>
      </c>
      <c r="E21" s="19" t="inlineStr">
        <is>
          <t>定期</t>
        </is>
      </c>
      <c r="F21" s="5" t="n">
        <v>220000</v>
      </c>
      <c r="G21" s="6" t="n">
        <v>0.0185</v>
      </c>
      <c r="H21" s="20">
        <f>F21*G21</f>
        <v/>
      </c>
      <c r="I21" s="19" t="inlineStr">
        <is>
          <t>-</t>
        </is>
      </c>
      <c r="J21" s="21">
        <f>IF(AND($C21="资产",$G21&gt;0),"是","否")</f>
        <v/>
      </c>
      <c r="K21" s="21">
        <f>IF($C21="负债","是","否")</f>
        <v/>
      </c>
      <c r="L21" s="20">
        <f>'②期限分布'!BO21</f>
        <v/>
      </c>
      <c r="M21" s="22">
        <f>IF('②期限分布'!BP21=0,0,MIN(0.98,MAX(0.1,'②期限分布'!BO21/'②期限分布'!BP21)))</f>
        <v/>
      </c>
      <c r="N21" s="23" t="n">
        <v>0</v>
      </c>
      <c r="O21" s="24" t="inlineStr">
        <is>
          <t>计息负债，付息成本进入分子</t>
        </is>
      </c>
    </row>
    <row r="22">
      <c r="A22" s="19" t="inlineStr">
        <is>
          <t>S020101020100</t>
        </is>
      </c>
      <c r="B22" s="19" t="inlineStr">
        <is>
          <t>1.2.1 零售活期存款</t>
        </is>
      </c>
      <c r="C22" s="19" t="inlineStr">
        <is>
          <t>负债</t>
        </is>
      </c>
      <c r="D22" s="19" t="inlineStr">
        <is>
          <t>活期存款</t>
        </is>
      </c>
      <c r="E22" s="19" t="inlineStr">
        <is>
          <t>活期</t>
        </is>
      </c>
      <c r="F22" s="5" t="n">
        <v>120000</v>
      </c>
      <c r="G22" s="6" t="n">
        <v>0.002</v>
      </c>
      <c r="H22" s="20">
        <f>F22*G22</f>
        <v/>
      </c>
      <c r="I22" s="19" t="inlineStr">
        <is>
          <t>-</t>
        </is>
      </c>
      <c r="J22" s="21">
        <f>IF(AND($C22="资产",$G22&gt;0),"是","否")</f>
        <v/>
      </c>
      <c r="K22" s="21">
        <f>IF($C22="负债","是","否")</f>
        <v/>
      </c>
      <c r="L22" s="20">
        <f>'②期限分布'!BO22</f>
        <v/>
      </c>
      <c r="M22" s="22">
        <f>IF('②期限分布'!BP22=0,0,MIN(0.98,MAX(0.1,'②期限分布'!BO22/'②期限分布'!BP22)))</f>
        <v/>
      </c>
      <c r="N22" s="23" t="n">
        <v>0</v>
      </c>
      <c r="O22" s="24" t="inlineStr">
        <is>
          <t>计息负债，付息成本进入分子</t>
        </is>
      </c>
    </row>
    <row r="23">
      <c r="A23" s="19" t="inlineStr">
        <is>
          <t>S020101020200</t>
        </is>
      </c>
      <c r="B23" s="19" t="inlineStr">
        <is>
          <t>1.2.2 零售定期存款</t>
        </is>
      </c>
      <c r="C23" s="19" t="inlineStr">
        <is>
          <t>负债</t>
        </is>
      </c>
      <c r="D23" s="19" t="inlineStr">
        <is>
          <t>定期存款</t>
        </is>
      </c>
      <c r="E23" s="19" t="inlineStr">
        <is>
          <t>定期</t>
        </is>
      </c>
      <c r="F23" s="5" t="n">
        <v>200000</v>
      </c>
      <c r="G23" s="6" t="n">
        <v>0.0195</v>
      </c>
      <c r="H23" s="20">
        <f>F23*G23</f>
        <v/>
      </c>
      <c r="I23" s="19" t="inlineStr">
        <is>
          <t>-</t>
        </is>
      </c>
      <c r="J23" s="21">
        <f>IF(AND($C23="资产",$G23&gt;0),"是","否")</f>
        <v/>
      </c>
      <c r="K23" s="21">
        <f>IF($C23="负债","是","否")</f>
        <v/>
      </c>
      <c r="L23" s="20">
        <f>'②期限分布'!BO23</f>
        <v/>
      </c>
      <c r="M23" s="22">
        <f>IF('②期限分布'!BP23=0,0,MIN(0.98,MAX(0.1,'②期限分布'!BO23/'②期限分布'!BP23)))</f>
        <v/>
      </c>
      <c r="N23" s="23" t="n">
        <v>0</v>
      </c>
      <c r="O23" s="24" t="inlineStr">
        <is>
          <t>计息负债，付息成本进入分子</t>
        </is>
      </c>
    </row>
    <row r="24">
      <c r="A24" s="19" t="inlineStr">
        <is>
          <t>S02010200000000</t>
        </is>
      </c>
      <c r="B24" s="19" t="inlineStr">
        <is>
          <t>2. 人民币市场化负债</t>
        </is>
      </c>
      <c r="C24" s="19" t="inlineStr">
        <is>
          <t>负债</t>
        </is>
      </c>
      <c r="D24" s="19" t="inlineStr">
        <is>
          <t>市场化负债</t>
        </is>
      </c>
      <c r="E24" s="19" t="inlineStr">
        <is>
          <t>同业</t>
        </is>
      </c>
      <c r="F24" s="5" t="n">
        <v>120000</v>
      </c>
      <c r="G24" s="6" t="n">
        <v>0.025</v>
      </c>
      <c r="H24" s="20">
        <f>F24*G24</f>
        <v/>
      </c>
      <c r="I24" s="19" t="inlineStr">
        <is>
          <t>-</t>
        </is>
      </c>
      <c r="J24" s="21">
        <f>IF(AND($C24="资产",$G24&gt;0),"是","否")</f>
        <v/>
      </c>
      <c r="K24" s="21">
        <f>IF($C24="负债","是","否")</f>
        <v/>
      </c>
      <c r="L24" s="20">
        <f>'②期限分布'!BO24</f>
        <v/>
      </c>
      <c r="M24" s="22">
        <f>IF('②期限分布'!BP24=0,0,MIN(0.98,MAX(0.1,'②期限分布'!BO24/'②期限分布'!BP24)))</f>
        <v/>
      </c>
      <c r="N24" s="23" t="n">
        <v>0</v>
      </c>
      <c r="O24" s="24" t="inlineStr">
        <is>
          <t>计息负债，货币市场定价</t>
        </is>
      </c>
    </row>
    <row r="25">
      <c r="A25" s="19" t="inlineStr">
        <is>
          <t>S02020100000000</t>
        </is>
      </c>
      <c r="B25" s="19" t="inlineStr">
        <is>
          <t>1. 外币存款</t>
        </is>
      </c>
      <c r="C25" s="19" t="inlineStr">
        <is>
          <t>负债</t>
        </is>
      </c>
      <c r="D25" s="19" t="inlineStr">
        <is>
          <t>外币负债</t>
        </is>
      </c>
      <c r="E25" s="19" t="inlineStr">
        <is>
          <t>外币</t>
        </is>
      </c>
      <c r="F25" s="5" t="n">
        <v>40000</v>
      </c>
      <c r="G25" s="6" t="n">
        <v>0.018</v>
      </c>
      <c r="H25" s="20">
        <f>F25*G25</f>
        <v/>
      </c>
      <c r="I25" s="19" t="inlineStr">
        <is>
          <t>-</t>
        </is>
      </c>
      <c r="J25" s="21">
        <f>IF(AND($C25="资产",$G25&gt;0),"是","否")</f>
        <v/>
      </c>
      <c r="K25" s="21">
        <f>IF($C25="负债","是","否")</f>
        <v/>
      </c>
      <c r="L25" s="20">
        <f>'②期限分布'!BO25</f>
        <v/>
      </c>
      <c r="M25" s="22">
        <f>IF('②期限分布'!BP25=0,0,MIN(0.98,MAX(0.1,'②期限分布'!BO25/'②期限分布'!BP25)))</f>
        <v/>
      </c>
      <c r="N25" s="23" t="n">
        <v>0</v>
      </c>
      <c r="O25" s="24" t="inlineStr">
        <is>
          <t>计息负债，折人民币</t>
        </is>
      </c>
    </row>
    <row r="26">
      <c r="A26" s="19" t="inlineStr">
        <is>
          <t>S02020200000000</t>
        </is>
      </c>
      <c r="B26" s="19" t="inlineStr">
        <is>
          <t>2. 外币市场化负债</t>
        </is>
      </c>
      <c r="C26" s="19" t="inlineStr">
        <is>
          <t>负债</t>
        </is>
      </c>
      <c r="D26" s="19" t="inlineStr">
        <is>
          <t>外币负债</t>
        </is>
      </c>
      <c r="E26" s="19" t="inlineStr">
        <is>
          <t>外币</t>
        </is>
      </c>
      <c r="F26" s="5" t="n">
        <v>20000</v>
      </c>
      <c r="G26" s="6" t="n">
        <v>0.035</v>
      </c>
      <c r="H26" s="20">
        <f>F26*G26</f>
        <v/>
      </c>
      <c r="I26" s="19" t="inlineStr">
        <is>
          <t>-</t>
        </is>
      </c>
      <c r="J26" s="21">
        <f>IF(AND($C26="资产",$G26&gt;0),"是","否")</f>
        <v/>
      </c>
      <c r="K26" s="21">
        <f>IF($C26="负债","是","否")</f>
        <v/>
      </c>
      <c r="L26" s="20">
        <f>'②期限分布'!BO26</f>
        <v/>
      </c>
      <c r="M26" s="22">
        <f>IF('②期限分布'!BP26=0,0,MIN(0.98,MAX(0.1,'②期限分布'!BO26/'②期限分布'!BP26)))</f>
        <v/>
      </c>
      <c r="N26" s="23" t="n">
        <v>0</v>
      </c>
      <c r="O26" s="24" t="inlineStr">
        <is>
          <t>计息负债，折人民币</t>
        </is>
      </c>
    </row>
    <row r="27">
      <c r="A27" s="13" t="inlineStr">
        <is>
          <t>S03000000000000</t>
        </is>
      </c>
      <c r="B27" s="13" t="inlineStr">
        <is>
          <t>所有者权益</t>
        </is>
      </c>
      <c r="C27" s="13" t="inlineStr">
        <is>
          <t>权益</t>
        </is>
      </c>
      <c r="D27" s="13" t="inlineStr">
        <is>
          <t>权益</t>
        </is>
      </c>
      <c r="E27" s="13" t="inlineStr">
        <is>
          <t>权益</t>
        </is>
      </c>
      <c r="F27" s="5" t="n">
        <v>100000</v>
      </c>
      <c r="G27" s="6" t="n">
        <v>0</v>
      </c>
      <c r="H27" s="14">
        <f>F27*G27</f>
        <v/>
      </c>
      <c r="I27" s="13" t="inlineStr">
        <is>
          <t>-</t>
        </is>
      </c>
      <c r="J27" s="15">
        <f>IF(AND($C27="资产",$G27&gt;0),"是","否")</f>
        <v/>
      </c>
      <c r="K27" s="15">
        <f>IF($C27="负债","是","否")</f>
        <v/>
      </c>
      <c r="L27" s="14">
        <f>'②期限分布'!BO27</f>
        <v/>
      </c>
      <c r="M27" s="16">
        <f>IF('②期限分布'!BP27=0,0,MIN(0.98,MAX(0.1,'②期限分布'!BO27/'②期限分布'!BP27)))</f>
        <v/>
      </c>
      <c r="N27" s="17" t="n">
        <v>0</v>
      </c>
      <c r="O27" s="18" t="inlineStr">
        <is>
          <t>无利息收支，不进入任何口径</t>
        </is>
      </c>
    </row>
    <row r="28">
      <c r="A28" s="25" t="n"/>
      <c r="B28" s="26" t="inlineStr">
        <is>
          <t>合计 / 加权平均</t>
        </is>
      </c>
      <c r="C28" s="25" t="n"/>
      <c r="D28" s="25" t="n"/>
      <c r="E28" s="25" t="n"/>
      <c r="F28" s="27">
        <f>SUM(F4:F27)</f>
        <v/>
      </c>
      <c r="G28" s="28">
        <f>IF(F28=0,0,SUMPRODUCT($F$4:$F$27,$G$4:$G$27)/F28)</f>
        <v/>
      </c>
      <c r="H28" s="27">
        <f>SUM(H4:H27)</f>
        <v/>
      </c>
      <c r="I28" s="25" t="n"/>
      <c r="J28" s="25" t="n"/>
      <c r="K28" s="25" t="n"/>
      <c r="L28" s="27">
        <f>SUM('②期限分布'!BO4:BO27)</f>
        <v/>
      </c>
      <c r="M28" s="27">
        <f>SUMPRODUCT($F$4:$F$27,$M$4:$M$27)</f>
        <v/>
      </c>
      <c r="N28" s="25" t="n"/>
      <c r="O28" s="29" t="inlineStr">
        <is>
          <t>M 列 = Σ(余额 × β) 全行重定价敞口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4" customWidth="1" min="67" max="67"/>
    <col width="14" customWidth="1" min="68" max="68"/>
    <col width="11" customWidth="1" min="69" max="69"/>
  </cols>
  <sheetData>
    <row r="1">
      <c r="A1" s="1" t="inlineStr">
        <is>
          <t>② 剩余期限分布（64 桶，等额分期偿还结构）— 取自 prcp_basic_20251231.xlsx BX~EI 列</t>
        </is>
      </c>
    </row>
    <row r="2">
      <c r="A2" s="2" t="inlineStr">
        <is>
          <t>用于 NIM 的「有效计息资产」重定价分析  |  资产端 16 桶（1M~16M 等额）· 活期存款 3 桶 · 定期/市场化负债 12 桶  |  Σ分布 ≤ 当前余额，差额为未到期续作本金</t>
        </is>
      </c>
    </row>
    <row r="3" ht="42" customHeight="1">
      <c r="A3" s="30" t="inlineStr">
        <is>
          <t>账户编码</t>
        </is>
      </c>
      <c r="B3" s="30" t="inlineStr">
        <is>
          <t>账户名称</t>
        </is>
      </c>
      <c r="C3" s="3" t="inlineStr">
        <is>
          <t>1M</t>
        </is>
      </c>
      <c r="D3" s="3" t="inlineStr">
        <is>
          <t>2M</t>
        </is>
      </c>
      <c r="E3" s="3" t="inlineStr">
        <is>
          <t>3M</t>
        </is>
      </c>
      <c r="F3" s="3" t="inlineStr">
        <is>
          <t>4M</t>
        </is>
      </c>
      <c r="G3" s="3" t="inlineStr">
        <is>
          <t>5M</t>
        </is>
      </c>
      <c r="H3" s="3" t="inlineStr">
        <is>
          <t>6M</t>
        </is>
      </c>
      <c r="I3" s="3" t="inlineStr">
        <is>
          <t>7M</t>
        </is>
      </c>
      <c r="J3" s="3" t="inlineStr">
        <is>
          <t>8M</t>
        </is>
      </c>
      <c r="K3" s="3" t="inlineStr">
        <is>
          <t>9M</t>
        </is>
      </c>
      <c r="L3" s="3" t="inlineStr">
        <is>
          <t>10M</t>
        </is>
      </c>
      <c r="M3" s="3" t="inlineStr">
        <is>
          <t>11M</t>
        </is>
      </c>
      <c r="N3" s="3" t="inlineStr">
        <is>
          <t>12M</t>
        </is>
      </c>
      <c r="O3" s="3" t="inlineStr">
        <is>
          <t>13M</t>
        </is>
      </c>
      <c r="P3" s="3" t="inlineStr">
        <is>
          <t>14M</t>
        </is>
      </c>
      <c r="Q3" s="3" t="inlineStr">
        <is>
          <t>15M</t>
        </is>
      </c>
      <c r="R3" s="3" t="inlineStr">
        <is>
          <t>16M</t>
        </is>
      </c>
      <c r="S3" s="3" t="inlineStr">
        <is>
          <t>17M</t>
        </is>
      </c>
      <c r="T3" s="3" t="inlineStr">
        <is>
          <t>18M</t>
        </is>
      </c>
      <c r="U3" s="3" t="inlineStr">
        <is>
          <t>19M</t>
        </is>
      </c>
      <c r="V3" s="3" t="inlineStr">
        <is>
          <t>20M</t>
        </is>
      </c>
      <c r="W3" s="3" t="inlineStr">
        <is>
          <t>21M</t>
        </is>
      </c>
      <c r="X3" s="3" t="inlineStr">
        <is>
          <t>22M</t>
        </is>
      </c>
      <c r="Y3" s="3" t="inlineStr">
        <is>
          <t>23M</t>
        </is>
      </c>
      <c r="Z3" s="3" t="inlineStr">
        <is>
          <t>24M</t>
        </is>
      </c>
      <c r="AA3" s="3" t="inlineStr">
        <is>
          <t>25M</t>
        </is>
      </c>
      <c r="AB3" s="3" t="inlineStr">
        <is>
          <t>26M</t>
        </is>
      </c>
      <c r="AC3" s="3" t="inlineStr">
        <is>
          <t>27M</t>
        </is>
      </c>
      <c r="AD3" s="3" t="inlineStr">
        <is>
          <t>28M</t>
        </is>
      </c>
      <c r="AE3" s="3" t="inlineStr">
        <is>
          <t>29M</t>
        </is>
      </c>
      <c r="AF3" s="3" t="inlineStr">
        <is>
          <t>30M</t>
        </is>
      </c>
      <c r="AG3" s="3" t="inlineStr">
        <is>
          <t>31M</t>
        </is>
      </c>
      <c r="AH3" s="3" t="inlineStr">
        <is>
          <t>32M</t>
        </is>
      </c>
      <c r="AI3" s="3" t="inlineStr">
        <is>
          <t>33M</t>
        </is>
      </c>
      <c r="AJ3" s="3" t="inlineStr">
        <is>
          <t>34M</t>
        </is>
      </c>
      <c r="AK3" s="3" t="inlineStr">
        <is>
          <t>35M</t>
        </is>
      </c>
      <c r="AL3" s="3" t="inlineStr">
        <is>
          <t>36M</t>
        </is>
      </c>
      <c r="AM3" s="3" t="inlineStr">
        <is>
          <t>37M</t>
        </is>
      </c>
      <c r="AN3" s="3" t="inlineStr">
        <is>
          <t>38M</t>
        </is>
      </c>
      <c r="AO3" s="3" t="inlineStr">
        <is>
          <t>39M</t>
        </is>
      </c>
      <c r="AP3" s="3" t="inlineStr">
        <is>
          <t>40M</t>
        </is>
      </c>
      <c r="AQ3" s="3" t="inlineStr">
        <is>
          <t>41M</t>
        </is>
      </c>
      <c r="AR3" s="3" t="inlineStr">
        <is>
          <t>42M</t>
        </is>
      </c>
      <c r="AS3" s="3" t="inlineStr">
        <is>
          <t>43M</t>
        </is>
      </c>
      <c r="AT3" s="3" t="inlineStr">
        <is>
          <t>44M</t>
        </is>
      </c>
      <c r="AU3" s="3" t="inlineStr">
        <is>
          <t>45M</t>
        </is>
      </c>
      <c r="AV3" s="3" t="inlineStr">
        <is>
          <t>46M</t>
        </is>
      </c>
      <c r="AW3" s="3" t="inlineStr">
        <is>
          <t>47M</t>
        </is>
      </c>
      <c r="AX3" s="3" t="inlineStr">
        <is>
          <t>48M</t>
        </is>
      </c>
      <c r="AY3" s="3" t="inlineStr">
        <is>
          <t>49M</t>
        </is>
      </c>
      <c r="AZ3" s="3" t="inlineStr">
        <is>
          <t>50M</t>
        </is>
      </c>
      <c r="BA3" s="3" t="inlineStr">
        <is>
          <t>51M</t>
        </is>
      </c>
      <c r="BB3" s="3" t="inlineStr">
        <is>
          <t>52M</t>
        </is>
      </c>
      <c r="BC3" s="3" t="inlineStr">
        <is>
          <t>53M</t>
        </is>
      </c>
      <c r="BD3" s="3" t="inlineStr">
        <is>
          <t>54M</t>
        </is>
      </c>
      <c r="BE3" s="3" t="inlineStr">
        <is>
          <t>55M</t>
        </is>
      </c>
      <c r="BF3" s="3" t="inlineStr">
        <is>
          <t>56M</t>
        </is>
      </c>
      <c r="BG3" s="3" t="inlineStr">
        <is>
          <t>57M</t>
        </is>
      </c>
      <c r="BH3" s="3" t="inlineStr">
        <is>
          <t>58M</t>
        </is>
      </c>
      <c r="BI3" s="3" t="inlineStr">
        <is>
          <t>59M</t>
        </is>
      </c>
      <c r="BJ3" s="3" t="inlineStr">
        <is>
          <t>60M</t>
        </is>
      </c>
      <c r="BK3" s="3" t="inlineStr">
        <is>
          <t>10Y</t>
        </is>
      </c>
      <c r="BL3" s="3" t="inlineStr">
        <is>
          <t>15Y</t>
        </is>
      </c>
      <c r="BM3" s="3" t="inlineStr">
        <is>
          <t>20Y</t>
        </is>
      </c>
      <c r="BN3" s="3" t="inlineStr">
        <is>
          <t>30Y</t>
        </is>
      </c>
      <c r="BO3" s="3" t="inlineStr">
        <is>
          <t>1年内到期
(1M~12M)</t>
        </is>
      </c>
      <c r="BP3" s="3" t="inlineStr">
        <is>
          <t>Σ 分布合计</t>
        </is>
      </c>
      <c r="BQ3" s="3" t="inlineStr">
        <is>
          <t>覆盖率</t>
        </is>
      </c>
    </row>
    <row r="4">
      <c r="A4" s="31" t="inlineStr">
        <is>
          <t>S01010101000000</t>
        </is>
      </c>
      <c r="B4" s="31" t="inlineStr">
        <is>
          <t>1.1. 对公一般贷款</t>
        </is>
      </c>
      <c r="C4" s="32" t="n">
        <v>5733</v>
      </c>
      <c r="D4" s="32" t="n">
        <v>5733</v>
      </c>
      <c r="E4" s="32" t="n">
        <v>5733</v>
      </c>
      <c r="F4" s="32" t="n">
        <v>5733</v>
      </c>
      <c r="G4" s="32" t="n">
        <v>5733</v>
      </c>
      <c r="H4" s="32" t="n">
        <v>5733</v>
      </c>
      <c r="I4" s="32" t="n">
        <v>5733</v>
      </c>
      <c r="J4" s="32" t="n">
        <v>5733</v>
      </c>
      <c r="K4" s="32" t="n">
        <v>5733</v>
      </c>
      <c r="L4" s="32" t="n">
        <v>5733</v>
      </c>
      <c r="M4" s="32" t="n">
        <v>5733</v>
      </c>
      <c r="N4" s="32" t="n">
        <v>5733</v>
      </c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  <c r="Z4" s="33" t="n"/>
      <c r="AA4" s="33" t="n"/>
      <c r="AB4" s="33" t="n"/>
      <c r="AC4" s="33" t="n"/>
      <c r="AD4" s="33" t="n"/>
      <c r="AE4" s="33" t="n"/>
      <c r="AF4" s="33" t="n"/>
      <c r="AG4" s="33" t="n"/>
      <c r="AH4" s="33" t="n"/>
      <c r="AI4" s="33" t="n"/>
      <c r="AJ4" s="33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3" t="n"/>
      <c r="AW4" s="33" t="n"/>
      <c r="AX4" s="33" t="n"/>
      <c r="AY4" s="33" t="n"/>
      <c r="AZ4" s="33" t="n"/>
      <c r="BA4" s="33" t="n"/>
      <c r="BB4" s="33" t="n"/>
      <c r="BC4" s="33" t="n"/>
      <c r="BD4" s="33" t="n"/>
      <c r="BE4" s="33" t="n"/>
      <c r="BF4" s="33" t="n"/>
      <c r="BG4" s="33" t="n"/>
      <c r="BH4" s="33" t="n"/>
      <c r="BI4" s="33" t="n"/>
      <c r="BJ4" s="33" t="n"/>
      <c r="BK4" s="32" t="n">
        <v>30625</v>
      </c>
      <c r="BL4" s="32" t="n">
        <v>15312.5</v>
      </c>
      <c r="BM4" s="32" t="n">
        <v>7644</v>
      </c>
      <c r="BN4" s="32" t="n">
        <v>7644</v>
      </c>
      <c r="BO4" s="34">
        <f>SUM(C4:N4)</f>
        <v/>
      </c>
      <c r="BP4" s="34">
        <f>SUM(C4:BN4)</f>
        <v/>
      </c>
      <c r="BQ4" s="35">
        <f>IF(F4=0,0,BP4/F4)</f>
        <v/>
      </c>
    </row>
    <row r="5">
      <c r="A5" s="31" t="inlineStr">
        <is>
          <t>S01010102000000</t>
        </is>
      </c>
      <c r="B5" s="31" t="inlineStr">
        <is>
          <t>1.2. 个人贷款</t>
        </is>
      </c>
      <c r="C5" s="32" t="n">
        <v>4095</v>
      </c>
      <c r="D5" s="32" t="n">
        <v>4095</v>
      </c>
      <c r="E5" s="32" t="n">
        <v>4095</v>
      </c>
      <c r="F5" s="32" t="n">
        <v>4095</v>
      </c>
      <c r="G5" s="32" t="n">
        <v>4095</v>
      </c>
      <c r="H5" s="32" t="n">
        <v>4095</v>
      </c>
      <c r="I5" s="32" t="n">
        <v>4095</v>
      </c>
      <c r="J5" s="32" t="n">
        <v>4095</v>
      </c>
      <c r="K5" s="32" t="n">
        <v>4095</v>
      </c>
      <c r="L5" s="32" t="n">
        <v>4095</v>
      </c>
      <c r="M5" s="32" t="n">
        <v>4095</v>
      </c>
      <c r="N5" s="32" t="n">
        <v>4095</v>
      </c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3" t="n"/>
      <c r="AH5" s="33" t="n"/>
      <c r="AI5" s="33" t="n"/>
      <c r="AJ5" s="33" t="n"/>
      <c r="AK5" s="33" t="n"/>
      <c r="AL5" s="33" t="n"/>
      <c r="AM5" s="33" t="n"/>
      <c r="AN5" s="33" t="n"/>
      <c r="AO5" s="33" t="n"/>
      <c r="AP5" s="33" t="n"/>
      <c r="AQ5" s="33" t="n"/>
      <c r="AR5" s="33" t="n"/>
      <c r="AS5" s="33" t="n"/>
      <c r="AT5" s="33" t="n"/>
      <c r="AU5" s="33" t="n"/>
      <c r="AV5" s="33" t="n"/>
      <c r="AW5" s="33" t="n"/>
      <c r="AX5" s="33" t="n"/>
      <c r="AY5" s="33" t="n"/>
      <c r="AZ5" s="33" t="n"/>
      <c r="BA5" s="33" t="n"/>
      <c r="BB5" s="33" t="n"/>
      <c r="BC5" s="33" t="n"/>
      <c r="BD5" s="33" t="n"/>
      <c r="BE5" s="33" t="n"/>
      <c r="BF5" s="33" t="n"/>
      <c r="BG5" s="33" t="n"/>
      <c r="BH5" s="33" t="n"/>
      <c r="BI5" s="33" t="n"/>
      <c r="BJ5" s="33" t="n"/>
      <c r="BK5" s="32" t="n">
        <v>21875</v>
      </c>
      <c r="BL5" s="32" t="n">
        <v>10937.5</v>
      </c>
      <c r="BM5" s="32" t="n">
        <v>5460</v>
      </c>
      <c r="BN5" s="32" t="n">
        <v>5460</v>
      </c>
      <c r="BO5" s="34">
        <f>SUM(C5:N5)</f>
        <v/>
      </c>
      <c r="BP5" s="34">
        <f>SUM(C5:BN5)</f>
        <v/>
      </c>
      <c r="BQ5" s="35">
        <f>IF(F5=0,0,BP5/F5)</f>
        <v/>
      </c>
    </row>
    <row r="6">
      <c r="A6" s="31" t="inlineStr">
        <is>
          <t>S01010103000000</t>
        </is>
      </c>
      <c r="B6" s="31" t="inlineStr">
        <is>
          <t>1.3. 信用卡贷款</t>
        </is>
      </c>
      <c r="C6" s="32" t="n">
        <v>1123.2</v>
      </c>
      <c r="D6" s="32" t="n">
        <v>1123.2</v>
      </c>
      <c r="E6" s="32" t="n">
        <v>1123.2</v>
      </c>
      <c r="F6" s="32" t="n">
        <v>1123.2</v>
      </c>
      <c r="G6" s="32" t="n">
        <v>1123.2</v>
      </c>
      <c r="H6" s="32" t="n">
        <v>1123.2</v>
      </c>
      <c r="I6" s="32" t="n">
        <v>1123.2</v>
      </c>
      <c r="J6" s="32" t="n">
        <v>1123.2</v>
      </c>
      <c r="K6" s="32" t="n">
        <v>1123.2</v>
      </c>
      <c r="L6" s="32" t="n">
        <v>1123.2</v>
      </c>
      <c r="M6" s="32" t="n">
        <v>1123.2</v>
      </c>
      <c r="N6" s="32" t="n">
        <v>1123.2</v>
      </c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  <c r="AA6" s="33" t="n"/>
      <c r="AB6" s="33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33" t="n"/>
      <c r="AL6" s="33" t="n"/>
      <c r="AM6" s="33" t="n"/>
      <c r="AN6" s="33" t="n"/>
      <c r="AO6" s="33" t="n"/>
      <c r="AP6" s="33" t="n"/>
      <c r="AQ6" s="33" t="n"/>
      <c r="AR6" s="33" t="n"/>
      <c r="AS6" s="33" t="n"/>
      <c r="AT6" s="33" t="n"/>
      <c r="AU6" s="33" t="n"/>
      <c r="AV6" s="33" t="n"/>
      <c r="AW6" s="33" t="n"/>
      <c r="AX6" s="33" t="n"/>
      <c r="AY6" s="33" t="n"/>
      <c r="AZ6" s="33" t="n"/>
      <c r="BA6" s="33" t="n"/>
      <c r="BB6" s="33" t="n"/>
      <c r="BC6" s="33" t="n"/>
      <c r="BD6" s="33" t="n"/>
      <c r="BE6" s="33" t="n"/>
      <c r="BF6" s="33" t="n"/>
      <c r="BG6" s="33" t="n"/>
      <c r="BH6" s="33" t="n"/>
      <c r="BI6" s="33" t="n"/>
      <c r="BJ6" s="33" t="n"/>
      <c r="BK6" s="32" t="n">
        <v>6000</v>
      </c>
      <c r="BL6" s="32" t="n">
        <v>3000</v>
      </c>
      <c r="BM6" s="32" t="n">
        <v>1497.6</v>
      </c>
      <c r="BN6" s="32" t="n">
        <v>1497.6</v>
      </c>
      <c r="BO6" s="34">
        <f>SUM(C6:N6)</f>
        <v/>
      </c>
      <c r="BP6" s="34">
        <f>SUM(C6:BN6)</f>
        <v/>
      </c>
      <c r="BQ6" s="35">
        <f>IF(F6=0,0,BP6/F6)</f>
        <v/>
      </c>
    </row>
    <row r="7">
      <c r="A7" s="31" t="inlineStr">
        <is>
          <t>S01010104000000</t>
        </is>
      </c>
      <c r="B7" s="31" t="inlineStr">
        <is>
          <t>1.4. 票据贴现</t>
        </is>
      </c>
      <c r="C7" s="32" t="n">
        <v>748.8</v>
      </c>
      <c r="D7" s="32" t="n">
        <v>748.8</v>
      </c>
      <c r="E7" s="32" t="n">
        <v>748.8</v>
      </c>
      <c r="F7" s="32" t="n">
        <v>748.8</v>
      </c>
      <c r="G7" s="32" t="n">
        <v>748.8</v>
      </c>
      <c r="H7" s="32" t="n">
        <v>748.8</v>
      </c>
      <c r="I7" s="32" t="n">
        <v>748.8</v>
      </c>
      <c r="J7" s="32" t="n">
        <v>748.8</v>
      </c>
      <c r="K7" s="32" t="n">
        <v>748.8</v>
      </c>
      <c r="L7" s="32" t="n">
        <v>748.8</v>
      </c>
      <c r="M7" s="32" t="n">
        <v>748.8</v>
      </c>
      <c r="N7" s="32" t="n">
        <v>748.8</v>
      </c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3" t="n"/>
      <c r="Y7" s="33" t="n"/>
      <c r="Z7" s="33" t="n"/>
      <c r="AA7" s="33" t="n"/>
      <c r="AB7" s="33" t="n"/>
      <c r="AC7" s="33" t="n"/>
      <c r="AD7" s="33" t="n"/>
      <c r="AE7" s="33" t="n"/>
      <c r="AF7" s="33" t="n"/>
      <c r="AG7" s="33" t="n"/>
      <c r="AH7" s="33" t="n"/>
      <c r="AI7" s="33" t="n"/>
      <c r="AJ7" s="33" t="n"/>
      <c r="AK7" s="33" t="n"/>
      <c r="AL7" s="33" t="n"/>
      <c r="AM7" s="33" t="n"/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  <c r="AW7" s="33" t="n"/>
      <c r="AX7" s="33" t="n"/>
      <c r="AY7" s="33" t="n"/>
      <c r="AZ7" s="33" t="n"/>
      <c r="BA7" s="33" t="n"/>
      <c r="BB7" s="33" t="n"/>
      <c r="BC7" s="33" t="n"/>
      <c r="BD7" s="33" t="n"/>
      <c r="BE7" s="33" t="n"/>
      <c r="BF7" s="33" t="n"/>
      <c r="BG7" s="33" t="n"/>
      <c r="BH7" s="33" t="n"/>
      <c r="BI7" s="33" t="n"/>
      <c r="BJ7" s="33" t="n"/>
      <c r="BK7" s="32" t="n">
        <v>4000</v>
      </c>
      <c r="BL7" s="32" t="n">
        <v>2000</v>
      </c>
      <c r="BM7" s="32" t="n">
        <v>998.4</v>
      </c>
      <c r="BN7" s="32" t="n">
        <v>998.4</v>
      </c>
      <c r="BO7" s="34">
        <f>SUM(C7:N7)</f>
        <v/>
      </c>
      <c r="BP7" s="34">
        <f>SUM(C7:BN7)</f>
        <v/>
      </c>
      <c r="BQ7" s="35">
        <f>IF(F7=0,0,BP7/F7)</f>
        <v/>
      </c>
    </row>
    <row r="8">
      <c r="A8" s="31" t="inlineStr">
        <is>
          <t>S01010105000000</t>
        </is>
      </c>
      <c r="B8" s="31" t="inlineStr">
        <is>
          <t>1.5. 非银贷款</t>
        </is>
      </c>
      <c r="C8" s="32" t="n">
        <v>1170</v>
      </c>
      <c r="D8" s="32" t="n">
        <v>1170</v>
      </c>
      <c r="E8" s="32" t="n">
        <v>1170</v>
      </c>
      <c r="F8" s="32" t="n">
        <v>1170</v>
      </c>
      <c r="G8" s="32" t="n">
        <v>1170</v>
      </c>
      <c r="H8" s="32" t="n">
        <v>1170</v>
      </c>
      <c r="I8" s="32" t="n">
        <v>1170</v>
      </c>
      <c r="J8" s="32" t="n">
        <v>1170</v>
      </c>
      <c r="K8" s="32" t="n">
        <v>1170</v>
      </c>
      <c r="L8" s="32" t="n">
        <v>1170</v>
      </c>
      <c r="M8" s="32" t="n">
        <v>1170</v>
      </c>
      <c r="N8" s="32" t="n">
        <v>1170</v>
      </c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3" t="n"/>
      <c r="AY8" s="33" t="n"/>
      <c r="AZ8" s="33" t="n"/>
      <c r="BA8" s="33" t="n"/>
      <c r="BB8" s="33" t="n"/>
      <c r="BC8" s="33" t="n"/>
      <c r="BD8" s="33" t="n"/>
      <c r="BE8" s="33" t="n"/>
      <c r="BF8" s="33" t="n"/>
      <c r="BG8" s="33" t="n"/>
      <c r="BH8" s="33" t="n"/>
      <c r="BI8" s="33" t="n"/>
      <c r="BJ8" s="33" t="n"/>
      <c r="BK8" s="32" t="n">
        <v>6250</v>
      </c>
      <c r="BL8" s="32" t="n">
        <v>3125</v>
      </c>
      <c r="BM8" s="32" t="n">
        <v>1560</v>
      </c>
      <c r="BN8" s="32" t="n">
        <v>1560</v>
      </c>
      <c r="BO8" s="34">
        <f>SUM(C8:N8)</f>
        <v/>
      </c>
      <c r="BP8" s="34">
        <f>SUM(C8:BN8)</f>
        <v/>
      </c>
      <c r="BQ8" s="35">
        <f>IF(F8=0,0,BP8/F8)</f>
        <v/>
      </c>
    </row>
    <row r="9">
      <c r="A9" s="31" t="inlineStr">
        <is>
          <t>S010102010100</t>
        </is>
      </c>
      <c r="B9" s="31" t="inlineStr">
        <is>
          <t>2.1.1 金市自营债券</t>
        </is>
      </c>
      <c r="C9" s="32" t="n">
        <v>3510</v>
      </c>
      <c r="D9" s="32" t="n">
        <v>3510</v>
      </c>
      <c r="E9" s="32" t="n">
        <v>3510</v>
      </c>
      <c r="F9" s="32" t="n">
        <v>3510</v>
      </c>
      <c r="G9" s="32" t="n">
        <v>3510</v>
      </c>
      <c r="H9" s="32" t="n">
        <v>3510</v>
      </c>
      <c r="I9" s="32" t="n">
        <v>3510</v>
      </c>
      <c r="J9" s="32" t="n">
        <v>3510</v>
      </c>
      <c r="K9" s="32" t="n">
        <v>3510</v>
      </c>
      <c r="L9" s="32" t="n">
        <v>3510</v>
      </c>
      <c r="M9" s="32" t="n">
        <v>3510</v>
      </c>
      <c r="N9" s="32" t="n">
        <v>3510</v>
      </c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  <c r="AX9" s="33" t="n"/>
      <c r="AY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2" t="n">
        <v>18750</v>
      </c>
      <c r="BL9" s="32" t="n">
        <v>9375</v>
      </c>
      <c r="BM9" s="32" t="n">
        <v>4680</v>
      </c>
      <c r="BN9" s="32" t="n">
        <v>4680</v>
      </c>
      <c r="BO9" s="34">
        <f>SUM(C9:N9)</f>
        <v/>
      </c>
      <c r="BP9" s="34">
        <f>SUM(C9:BN9)</f>
        <v/>
      </c>
      <c r="BQ9" s="35">
        <f>IF(F9=0,0,BP9/F9)</f>
        <v/>
      </c>
    </row>
    <row r="10">
      <c r="A10" s="31" t="inlineStr">
        <is>
          <t>S010102010200</t>
        </is>
      </c>
      <c r="B10" s="31" t="inlineStr">
        <is>
          <t>2.1.2 司库债券</t>
        </is>
      </c>
      <c r="C10" s="32" t="n">
        <v>2340</v>
      </c>
      <c r="D10" s="32" t="n">
        <v>2340</v>
      </c>
      <c r="E10" s="32" t="n">
        <v>2340</v>
      </c>
      <c r="F10" s="32" t="n">
        <v>2340</v>
      </c>
      <c r="G10" s="32" t="n">
        <v>2340</v>
      </c>
      <c r="H10" s="32" t="n">
        <v>2340</v>
      </c>
      <c r="I10" s="32" t="n">
        <v>2340</v>
      </c>
      <c r="J10" s="32" t="n">
        <v>2340</v>
      </c>
      <c r="K10" s="32" t="n">
        <v>2340</v>
      </c>
      <c r="L10" s="32" t="n">
        <v>2340</v>
      </c>
      <c r="M10" s="32" t="n">
        <v>2340</v>
      </c>
      <c r="N10" s="32" t="n">
        <v>2340</v>
      </c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  <c r="AE10" s="33" t="n"/>
      <c r="AF10" s="33" t="n"/>
      <c r="AG10" s="33" t="n"/>
      <c r="AH10" s="33" t="n"/>
      <c r="AI10" s="33" t="n"/>
      <c r="AJ10" s="33" t="n"/>
      <c r="AK10" s="33" t="n"/>
      <c r="AL10" s="33" t="n"/>
      <c r="AM10" s="33" t="n"/>
      <c r="AN10" s="33" t="n"/>
      <c r="AO10" s="33" t="n"/>
      <c r="AP10" s="33" t="n"/>
      <c r="AQ10" s="33" t="n"/>
      <c r="AR10" s="33" t="n"/>
      <c r="AS10" s="33" t="n"/>
      <c r="AT10" s="33" t="n"/>
      <c r="AU10" s="33" t="n"/>
      <c r="AV10" s="33" t="n"/>
      <c r="AW10" s="33" t="n"/>
      <c r="AX10" s="33" t="n"/>
      <c r="AY10" s="33" t="n"/>
      <c r="AZ10" s="33" t="n"/>
      <c r="BA10" s="33" t="n"/>
      <c r="BB10" s="33" t="n"/>
      <c r="BC10" s="33" t="n"/>
      <c r="BD10" s="33" t="n"/>
      <c r="BE10" s="33" t="n"/>
      <c r="BF10" s="33" t="n"/>
      <c r="BG10" s="33" t="n"/>
      <c r="BH10" s="33" t="n"/>
      <c r="BI10" s="33" t="n"/>
      <c r="BJ10" s="33" t="n"/>
      <c r="BK10" s="32" t="n">
        <v>12500</v>
      </c>
      <c r="BL10" s="32" t="n">
        <v>6250</v>
      </c>
      <c r="BM10" s="32" t="n">
        <v>3120</v>
      </c>
      <c r="BN10" s="32" t="n">
        <v>3120</v>
      </c>
      <c r="BO10" s="34">
        <f>SUM(C10:N10)</f>
        <v/>
      </c>
      <c r="BP10" s="34">
        <f>SUM(C10:BN10)</f>
        <v/>
      </c>
      <c r="BQ10" s="35">
        <f>IF(F10=0,0,BP10/F10)</f>
        <v/>
      </c>
    </row>
    <row r="11">
      <c r="A11" s="31" t="inlineStr">
        <is>
          <t>S01010202000000</t>
        </is>
      </c>
      <c r="B11" s="31" t="inlineStr">
        <is>
          <t>2.2. 结构化融资</t>
        </is>
      </c>
      <c r="C11" s="32" t="n">
        <v>1170</v>
      </c>
      <c r="D11" s="32" t="n">
        <v>1170</v>
      </c>
      <c r="E11" s="32" t="n">
        <v>1170</v>
      </c>
      <c r="F11" s="32" t="n">
        <v>1170</v>
      </c>
      <c r="G11" s="32" t="n">
        <v>1170</v>
      </c>
      <c r="H11" s="32" t="n">
        <v>1170</v>
      </c>
      <c r="I11" s="32" t="n">
        <v>1170</v>
      </c>
      <c r="J11" s="32" t="n">
        <v>1170</v>
      </c>
      <c r="K11" s="32" t="n">
        <v>1170</v>
      </c>
      <c r="L11" s="32" t="n">
        <v>1170</v>
      </c>
      <c r="M11" s="32" t="n">
        <v>1170</v>
      </c>
      <c r="N11" s="32" t="n">
        <v>1170</v>
      </c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33" t="n"/>
      <c r="AH11" s="33" t="n"/>
      <c r="AI11" s="33" t="n"/>
      <c r="AJ11" s="33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  <c r="AW11" s="33" t="n"/>
      <c r="AX11" s="33" t="n"/>
      <c r="AY11" s="33" t="n"/>
      <c r="AZ11" s="33" t="n"/>
      <c r="BA11" s="33" t="n"/>
      <c r="BB11" s="33" t="n"/>
      <c r="BC11" s="33" t="n"/>
      <c r="BD11" s="33" t="n"/>
      <c r="BE11" s="33" t="n"/>
      <c r="BF11" s="33" t="n"/>
      <c r="BG11" s="33" t="n"/>
      <c r="BH11" s="33" t="n"/>
      <c r="BI11" s="33" t="n"/>
      <c r="BJ11" s="33" t="n"/>
      <c r="BK11" s="32" t="n">
        <v>6250</v>
      </c>
      <c r="BL11" s="32" t="n">
        <v>3125</v>
      </c>
      <c r="BM11" s="32" t="n">
        <v>1560</v>
      </c>
      <c r="BN11" s="32" t="n">
        <v>1560</v>
      </c>
      <c r="BO11" s="34">
        <f>SUM(C11:N11)</f>
        <v/>
      </c>
      <c r="BP11" s="34">
        <f>SUM(C11:BN11)</f>
        <v/>
      </c>
      <c r="BQ11" s="35">
        <f>IF(F11=0,0,BP11/F11)</f>
        <v/>
      </c>
    </row>
    <row r="12">
      <c r="A12" s="31" t="inlineStr">
        <is>
          <t>S01010203000000</t>
        </is>
      </c>
      <c r="B12" s="31" t="inlineStr">
        <is>
          <t>2.3. 同业资产（不含拆放非银）</t>
        </is>
      </c>
      <c r="C12" s="32" t="n">
        <v>1638</v>
      </c>
      <c r="D12" s="32" t="n">
        <v>1638</v>
      </c>
      <c r="E12" s="32" t="n">
        <v>1638</v>
      </c>
      <c r="F12" s="32" t="n">
        <v>1638</v>
      </c>
      <c r="G12" s="32" t="n">
        <v>1638</v>
      </c>
      <c r="H12" s="32" t="n">
        <v>1638</v>
      </c>
      <c r="I12" s="32" t="n">
        <v>1638</v>
      </c>
      <c r="J12" s="32" t="n">
        <v>1638</v>
      </c>
      <c r="K12" s="32" t="n">
        <v>1638</v>
      </c>
      <c r="L12" s="32" t="n">
        <v>1638</v>
      </c>
      <c r="M12" s="32" t="n">
        <v>1638</v>
      </c>
      <c r="N12" s="32" t="n">
        <v>1638</v>
      </c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33" t="n"/>
      <c r="AI12" s="33" t="n"/>
      <c r="AJ12" s="33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  <c r="BB12" s="33" t="n"/>
      <c r="BC12" s="33" t="n"/>
      <c r="BD12" s="33" t="n"/>
      <c r="BE12" s="33" t="n"/>
      <c r="BF12" s="33" t="n"/>
      <c r="BG12" s="33" t="n"/>
      <c r="BH12" s="33" t="n"/>
      <c r="BI12" s="33" t="n"/>
      <c r="BJ12" s="33" t="n"/>
      <c r="BK12" s="32" t="n">
        <v>8750</v>
      </c>
      <c r="BL12" s="32" t="n">
        <v>4375</v>
      </c>
      <c r="BM12" s="32" t="n">
        <v>2184</v>
      </c>
      <c r="BN12" s="32" t="n">
        <v>2184</v>
      </c>
      <c r="BO12" s="34">
        <f>SUM(C12:N12)</f>
        <v/>
      </c>
      <c r="BP12" s="34">
        <f>SUM(C12:BN12)</f>
        <v/>
      </c>
      <c r="BQ12" s="35">
        <f>IF(F12=0,0,BP12/F12)</f>
        <v/>
      </c>
    </row>
    <row r="13">
      <c r="A13" s="31" t="inlineStr">
        <is>
          <t>S01010204000000</t>
        </is>
      </c>
      <c r="B13" s="31" t="inlineStr">
        <is>
          <t>2.4. 存款准备金</t>
        </is>
      </c>
      <c r="C13" s="32" t="n">
        <v>702</v>
      </c>
      <c r="D13" s="32" t="n">
        <v>702</v>
      </c>
      <c r="E13" s="32" t="n">
        <v>702</v>
      </c>
      <c r="F13" s="32" t="n">
        <v>702</v>
      </c>
      <c r="G13" s="32" t="n">
        <v>702</v>
      </c>
      <c r="H13" s="32" t="n">
        <v>702</v>
      </c>
      <c r="I13" s="32" t="n">
        <v>702</v>
      </c>
      <c r="J13" s="32" t="n">
        <v>702</v>
      </c>
      <c r="K13" s="32" t="n">
        <v>702</v>
      </c>
      <c r="L13" s="32" t="n">
        <v>702</v>
      </c>
      <c r="M13" s="32" t="n">
        <v>702</v>
      </c>
      <c r="N13" s="32" t="n">
        <v>702</v>
      </c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33" t="n"/>
      <c r="AC13" s="33" t="n"/>
      <c r="AD13" s="33" t="n"/>
      <c r="AE13" s="33" t="n"/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  <c r="BC13" s="33" t="n"/>
      <c r="BD13" s="33" t="n"/>
      <c r="BE13" s="33" t="n"/>
      <c r="BF13" s="33" t="n"/>
      <c r="BG13" s="33" t="n"/>
      <c r="BH13" s="33" t="n"/>
      <c r="BI13" s="33" t="n"/>
      <c r="BJ13" s="33" t="n"/>
      <c r="BK13" s="32" t="n">
        <v>3750</v>
      </c>
      <c r="BL13" s="32" t="n">
        <v>1875</v>
      </c>
      <c r="BM13" s="32" t="n">
        <v>936</v>
      </c>
      <c r="BN13" s="32" t="n">
        <v>936</v>
      </c>
      <c r="BO13" s="34">
        <f>SUM(C13:N13)</f>
        <v/>
      </c>
      <c r="BP13" s="34">
        <f>SUM(C13:BN13)</f>
        <v/>
      </c>
      <c r="BQ13" s="35">
        <f>IF(F13=0,0,BP13/F13)</f>
        <v/>
      </c>
    </row>
    <row r="14">
      <c r="A14" s="31" t="inlineStr">
        <is>
          <t>S01010301000000</t>
        </is>
      </c>
      <c r="B14" s="31" t="inlineStr">
        <is>
          <t>3.1. FVTPL类资产</t>
        </is>
      </c>
      <c r="C14" s="32" t="n">
        <v>702</v>
      </c>
      <c r="D14" s="32" t="n">
        <v>702</v>
      </c>
      <c r="E14" s="32" t="n">
        <v>702</v>
      </c>
      <c r="F14" s="32" t="n">
        <v>702</v>
      </c>
      <c r="G14" s="32" t="n">
        <v>702</v>
      </c>
      <c r="H14" s="32" t="n">
        <v>702</v>
      </c>
      <c r="I14" s="32" t="n">
        <v>702</v>
      </c>
      <c r="J14" s="32" t="n">
        <v>702</v>
      </c>
      <c r="K14" s="32" t="n">
        <v>702</v>
      </c>
      <c r="L14" s="32" t="n">
        <v>702</v>
      </c>
      <c r="M14" s="32" t="n">
        <v>702</v>
      </c>
      <c r="N14" s="32" t="n">
        <v>702</v>
      </c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33" t="n"/>
      <c r="AC14" s="33" t="n"/>
      <c r="AD14" s="33" t="n"/>
      <c r="AE14" s="33" t="n"/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  <c r="BC14" s="33" t="n"/>
      <c r="BD14" s="33" t="n"/>
      <c r="BE14" s="33" t="n"/>
      <c r="BF14" s="33" t="n"/>
      <c r="BG14" s="33" t="n"/>
      <c r="BH14" s="33" t="n"/>
      <c r="BI14" s="33" t="n"/>
      <c r="BJ14" s="33" t="n"/>
      <c r="BK14" s="32" t="n">
        <v>3750</v>
      </c>
      <c r="BL14" s="32" t="n">
        <v>1875</v>
      </c>
      <c r="BM14" s="32" t="n">
        <v>936</v>
      </c>
      <c r="BN14" s="32" t="n">
        <v>936</v>
      </c>
      <c r="BO14" s="34">
        <f>SUM(C14:N14)</f>
        <v/>
      </c>
      <c r="BP14" s="34">
        <f>SUM(C14:BN14)</f>
        <v/>
      </c>
      <c r="BQ14" s="35">
        <f>IF(F14=0,0,BP14/F14)</f>
        <v/>
      </c>
    </row>
    <row r="15">
      <c r="A15" s="31" t="inlineStr">
        <is>
          <t>S01010302000000</t>
        </is>
      </c>
      <c r="B15" s="31" t="inlineStr">
        <is>
          <t>3.2. 其他非生息资产</t>
        </is>
      </c>
      <c r="C15" s="32" t="n">
        <v>468</v>
      </c>
      <c r="D15" s="32" t="n">
        <v>468</v>
      </c>
      <c r="E15" s="32" t="n">
        <v>468</v>
      </c>
      <c r="F15" s="32" t="n">
        <v>468</v>
      </c>
      <c r="G15" s="32" t="n">
        <v>468</v>
      </c>
      <c r="H15" s="32" t="n">
        <v>468</v>
      </c>
      <c r="I15" s="32" t="n">
        <v>468</v>
      </c>
      <c r="J15" s="32" t="n">
        <v>468</v>
      </c>
      <c r="K15" s="32" t="n">
        <v>468</v>
      </c>
      <c r="L15" s="32" t="n">
        <v>468</v>
      </c>
      <c r="M15" s="32" t="n">
        <v>468</v>
      </c>
      <c r="N15" s="32" t="n">
        <v>468</v>
      </c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  <c r="AP15" s="36" t="n"/>
      <c r="AQ15" s="36" t="n"/>
      <c r="AR15" s="36" t="n"/>
      <c r="AS15" s="36" t="n"/>
      <c r="AT15" s="36" t="n"/>
      <c r="AU15" s="36" t="n"/>
      <c r="AV15" s="36" t="n"/>
      <c r="AW15" s="36" t="n"/>
      <c r="AX15" s="36" t="n"/>
      <c r="AY15" s="36" t="n"/>
      <c r="AZ15" s="36" t="n"/>
      <c r="BA15" s="36" t="n"/>
      <c r="BB15" s="36" t="n"/>
      <c r="BC15" s="36" t="n"/>
      <c r="BD15" s="36" t="n"/>
      <c r="BE15" s="36" t="n"/>
      <c r="BF15" s="36" t="n"/>
      <c r="BG15" s="36" t="n"/>
      <c r="BH15" s="36" t="n"/>
      <c r="BI15" s="36" t="n"/>
      <c r="BJ15" s="36" t="n"/>
      <c r="BK15" s="32" t="n">
        <v>2500</v>
      </c>
      <c r="BL15" s="32" t="n">
        <v>1250</v>
      </c>
      <c r="BM15" s="32" t="n">
        <v>624</v>
      </c>
      <c r="BN15" s="32" t="n">
        <v>624</v>
      </c>
      <c r="BO15" s="34">
        <f>SUM(C15:N15)</f>
        <v/>
      </c>
      <c r="BP15" s="34">
        <f>SUM(C15:BN15)</f>
        <v/>
      </c>
      <c r="BQ15" s="35">
        <f>IF(F15=0,0,BP15/F15)</f>
        <v/>
      </c>
    </row>
    <row r="16">
      <c r="A16" s="31" t="inlineStr">
        <is>
          <t>S01020100000000</t>
        </is>
      </c>
      <c r="B16" s="31" t="inlineStr">
        <is>
          <t>1. 外币贷款</t>
        </is>
      </c>
      <c r="C16" s="32" t="n">
        <v>936</v>
      </c>
      <c r="D16" s="32" t="n">
        <v>936</v>
      </c>
      <c r="E16" s="32" t="n">
        <v>936</v>
      </c>
      <c r="F16" s="32" t="n">
        <v>936</v>
      </c>
      <c r="G16" s="32" t="n">
        <v>936</v>
      </c>
      <c r="H16" s="32" t="n">
        <v>936</v>
      </c>
      <c r="I16" s="32" t="n">
        <v>936</v>
      </c>
      <c r="J16" s="32" t="n">
        <v>936</v>
      </c>
      <c r="K16" s="32" t="n">
        <v>936</v>
      </c>
      <c r="L16" s="32" t="n">
        <v>936</v>
      </c>
      <c r="M16" s="32" t="n">
        <v>936</v>
      </c>
      <c r="N16" s="32" t="n">
        <v>936</v>
      </c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3" t="n"/>
      <c r="BD16" s="33" t="n"/>
      <c r="BE16" s="33" t="n"/>
      <c r="BF16" s="33" t="n"/>
      <c r="BG16" s="33" t="n"/>
      <c r="BH16" s="33" t="n"/>
      <c r="BI16" s="33" t="n"/>
      <c r="BJ16" s="33" t="n"/>
      <c r="BK16" s="32" t="n">
        <v>5000</v>
      </c>
      <c r="BL16" s="32" t="n">
        <v>2500</v>
      </c>
      <c r="BM16" s="32" t="n">
        <v>1248</v>
      </c>
      <c r="BN16" s="32" t="n">
        <v>1248</v>
      </c>
      <c r="BO16" s="34">
        <f>SUM(C16:N16)</f>
        <v/>
      </c>
      <c r="BP16" s="34">
        <f>SUM(C16:BN16)</f>
        <v/>
      </c>
      <c r="BQ16" s="35">
        <f>IF(F16=0,0,BP16/F16)</f>
        <v/>
      </c>
    </row>
    <row r="17">
      <c r="A17" s="31" t="inlineStr">
        <is>
          <t>S01020201000000</t>
        </is>
      </c>
      <c r="B17" s="31" t="inlineStr">
        <is>
          <t>2.1. 外币债券</t>
        </is>
      </c>
      <c r="C17" s="32" t="n">
        <v>468</v>
      </c>
      <c r="D17" s="32" t="n">
        <v>468</v>
      </c>
      <c r="E17" s="32" t="n">
        <v>468</v>
      </c>
      <c r="F17" s="32" t="n">
        <v>468</v>
      </c>
      <c r="G17" s="32" t="n">
        <v>468</v>
      </c>
      <c r="H17" s="32" t="n">
        <v>468</v>
      </c>
      <c r="I17" s="32" t="n">
        <v>468</v>
      </c>
      <c r="J17" s="32" t="n">
        <v>468</v>
      </c>
      <c r="K17" s="32" t="n">
        <v>468</v>
      </c>
      <c r="L17" s="32" t="n">
        <v>468</v>
      </c>
      <c r="M17" s="32" t="n">
        <v>468</v>
      </c>
      <c r="N17" s="32" t="n">
        <v>468</v>
      </c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  <c r="AE17" s="33" t="n"/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33" t="n"/>
      <c r="BC17" s="33" t="n"/>
      <c r="BD17" s="33" t="n"/>
      <c r="BE17" s="33" t="n"/>
      <c r="BF17" s="33" t="n"/>
      <c r="BG17" s="33" t="n"/>
      <c r="BH17" s="33" t="n"/>
      <c r="BI17" s="33" t="n"/>
      <c r="BJ17" s="33" t="n"/>
      <c r="BK17" s="32" t="n">
        <v>2500</v>
      </c>
      <c r="BL17" s="32" t="n">
        <v>1250</v>
      </c>
      <c r="BM17" s="32" t="n">
        <v>624</v>
      </c>
      <c r="BN17" s="32" t="n">
        <v>624</v>
      </c>
      <c r="BO17" s="34">
        <f>SUM(C17:N17)</f>
        <v/>
      </c>
      <c r="BP17" s="34">
        <f>SUM(C17:BN17)</f>
        <v/>
      </c>
      <c r="BQ17" s="35">
        <f>IF(F17=0,0,BP17/F17)</f>
        <v/>
      </c>
    </row>
    <row r="18">
      <c r="A18" s="31" t="inlineStr">
        <is>
          <t>S01020202000000</t>
        </is>
      </c>
      <c r="B18" s="31" t="inlineStr">
        <is>
          <t>2.2. 同业资产</t>
        </is>
      </c>
      <c r="C18" s="32" t="n">
        <v>234</v>
      </c>
      <c r="D18" s="32" t="n">
        <v>234</v>
      </c>
      <c r="E18" s="32" t="n">
        <v>234</v>
      </c>
      <c r="F18" s="32" t="n">
        <v>234</v>
      </c>
      <c r="G18" s="32" t="n">
        <v>234</v>
      </c>
      <c r="H18" s="32" t="n">
        <v>234</v>
      </c>
      <c r="I18" s="32" t="n">
        <v>234</v>
      </c>
      <c r="J18" s="32" t="n">
        <v>234</v>
      </c>
      <c r="K18" s="32" t="n">
        <v>234</v>
      </c>
      <c r="L18" s="32" t="n">
        <v>234</v>
      </c>
      <c r="M18" s="32" t="n">
        <v>234</v>
      </c>
      <c r="N18" s="32" t="n">
        <v>234</v>
      </c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  <c r="AE18" s="33" t="n"/>
      <c r="AF18" s="33" t="n"/>
      <c r="AG18" s="33" t="n"/>
      <c r="AH18" s="33" t="n"/>
      <c r="AI18" s="33" t="n"/>
      <c r="AJ18" s="33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33" t="n"/>
      <c r="BC18" s="33" t="n"/>
      <c r="BD18" s="33" t="n"/>
      <c r="BE18" s="33" t="n"/>
      <c r="BF18" s="33" t="n"/>
      <c r="BG18" s="33" t="n"/>
      <c r="BH18" s="33" t="n"/>
      <c r="BI18" s="33" t="n"/>
      <c r="BJ18" s="33" t="n"/>
      <c r="BK18" s="32" t="n">
        <v>1250</v>
      </c>
      <c r="BL18" s="32" t="n">
        <v>625</v>
      </c>
      <c r="BM18" s="32" t="n">
        <v>312</v>
      </c>
      <c r="BN18" s="32" t="n">
        <v>312</v>
      </c>
      <c r="BO18" s="34">
        <f>SUM(C18:N18)</f>
        <v/>
      </c>
      <c r="BP18" s="34">
        <f>SUM(C18:BN18)</f>
        <v/>
      </c>
      <c r="BQ18" s="35">
        <f>IF(F18=0,0,BP18/F18)</f>
        <v/>
      </c>
    </row>
    <row r="19">
      <c r="A19" s="31" t="inlineStr">
        <is>
          <t>S01020300000000</t>
        </is>
      </c>
      <c r="B19" s="31" t="inlineStr">
        <is>
          <t>3. 外币非生息资产</t>
        </is>
      </c>
      <c r="C19" s="32" t="n">
        <v>234</v>
      </c>
      <c r="D19" s="32" t="n">
        <v>234</v>
      </c>
      <c r="E19" s="32" t="n">
        <v>234</v>
      </c>
      <c r="F19" s="32" t="n">
        <v>234</v>
      </c>
      <c r="G19" s="32" t="n">
        <v>234</v>
      </c>
      <c r="H19" s="32" t="n">
        <v>234</v>
      </c>
      <c r="I19" s="32" t="n">
        <v>234</v>
      </c>
      <c r="J19" s="32" t="n">
        <v>234</v>
      </c>
      <c r="K19" s="32" t="n">
        <v>234</v>
      </c>
      <c r="L19" s="32" t="n">
        <v>234</v>
      </c>
      <c r="M19" s="32" t="n">
        <v>234</v>
      </c>
      <c r="N19" s="32" t="n">
        <v>234</v>
      </c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  <c r="AZ19" s="36" t="n"/>
      <c r="BA19" s="36" t="n"/>
      <c r="BB19" s="36" t="n"/>
      <c r="BC19" s="36" t="n"/>
      <c r="BD19" s="36" t="n"/>
      <c r="BE19" s="36" t="n"/>
      <c r="BF19" s="36" t="n"/>
      <c r="BG19" s="36" t="n"/>
      <c r="BH19" s="36" t="n"/>
      <c r="BI19" s="36" t="n"/>
      <c r="BJ19" s="36" t="n"/>
      <c r="BK19" s="32" t="n">
        <v>1250</v>
      </c>
      <c r="BL19" s="32" t="n">
        <v>625</v>
      </c>
      <c r="BM19" s="32" t="n">
        <v>312</v>
      </c>
      <c r="BN19" s="32" t="n">
        <v>312</v>
      </c>
      <c r="BO19" s="34">
        <f>SUM(C19:N19)</f>
        <v/>
      </c>
      <c r="BP19" s="34">
        <f>SUM(C19:BN19)</f>
        <v/>
      </c>
      <c r="BQ19" s="35">
        <f>IF(F19=0,0,BP19/F19)</f>
        <v/>
      </c>
    </row>
    <row r="20">
      <c r="A20" s="31" t="inlineStr">
        <is>
          <t>S020101010100</t>
        </is>
      </c>
      <c r="B20" s="31" t="inlineStr">
        <is>
          <t>1.1.1 对公活期存款</t>
        </is>
      </c>
      <c r="C20" s="32" t="n">
        <v>130000</v>
      </c>
      <c r="D20" s="32" t="n">
        <v>78000</v>
      </c>
      <c r="E20" s="32" t="n">
        <v>52000</v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  <c r="AR20" s="37" t="n"/>
      <c r="AS20" s="37" t="n"/>
      <c r="AT20" s="37" t="n"/>
      <c r="AU20" s="37" t="n"/>
      <c r="AV20" s="37" t="n"/>
      <c r="AW20" s="37" t="n"/>
      <c r="AX20" s="37" t="n"/>
      <c r="AY20" s="37" t="n"/>
      <c r="AZ20" s="37" t="n"/>
      <c r="BA20" s="37" t="n"/>
      <c r="BB20" s="37" t="n"/>
      <c r="BC20" s="37" t="n"/>
      <c r="BD20" s="37" t="n"/>
      <c r="BE20" s="37" t="n"/>
      <c r="BF20" s="37" t="n"/>
      <c r="BG20" s="37" t="n"/>
      <c r="BH20" s="37" t="n"/>
      <c r="BI20" s="37" t="n"/>
      <c r="BJ20" s="37" t="n"/>
      <c r="BK20" s="37" t="n"/>
      <c r="BL20" s="37" t="n"/>
      <c r="BM20" s="37" t="n"/>
      <c r="BN20" s="37" t="n"/>
      <c r="BO20" s="34">
        <f>SUM(C20:N20)</f>
        <v/>
      </c>
      <c r="BP20" s="34">
        <f>SUM(C20:BN20)</f>
        <v/>
      </c>
      <c r="BQ20" s="35">
        <f>IF(F20=0,0,BP20/F20)</f>
        <v/>
      </c>
    </row>
    <row r="21">
      <c r="A21" s="31" t="inlineStr">
        <is>
          <t>S020101010200</t>
        </is>
      </c>
      <c r="B21" s="31" t="inlineStr">
        <is>
          <t>1.1.2 对公定期存款</t>
        </is>
      </c>
      <c r="C21" s="32" t="n">
        <v>38830</v>
      </c>
      <c r="D21" s="32" t="n">
        <v>38830</v>
      </c>
      <c r="E21" s="32" t="n">
        <v>25872</v>
      </c>
      <c r="F21" s="32" t="n">
        <v>12936</v>
      </c>
      <c r="G21" s="32" t="n">
        <v>12936</v>
      </c>
      <c r="H21" s="32" t="n">
        <v>12936</v>
      </c>
      <c r="I21" s="32" t="n">
        <v>12936</v>
      </c>
      <c r="J21" s="32" t="n">
        <v>12936</v>
      </c>
      <c r="K21" s="32" t="n">
        <v>12936</v>
      </c>
      <c r="L21" s="32" t="n">
        <v>12936</v>
      </c>
      <c r="M21" s="32" t="n">
        <v>12936</v>
      </c>
      <c r="N21" s="32" t="n">
        <v>12936</v>
      </c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  <c r="AR21" s="37" t="n"/>
      <c r="AS21" s="37" t="n"/>
      <c r="AT21" s="37" t="n"/>
      <c r="AU21" s="37" t="n"/>
      <c r="AV21" s="37" t="n"/>
      <c r="AW21" s="37" t="n"/>
      <c r="AX21" s="37" t="n"/>
      <c r="AY21" s="37" t="n"/>
      <c r="AZ21" s="37" t="n"/>
      <c r="BA21" s="37" t="n"/>
      <c r="BB21" s="37" t="n"/>
      <c r="BC21" s="37" t="n"/>
      <c r="BD21" s="37" t="n"/>
      <c r="BE21" s="37" t="n"/>
      <c r="BF21" s="37" t="n"/>
      <c r="BG21" s="37" t="n"/>
      <c r="BH21" s="37" t="n"/>
      <c r="BI21" s="37" t="n"/>
      <c r="BJ21" s="37" t="n"/>
      <c r="BK21" s="37" t="n"/>
      <c r="BL21" s="37" t="n"/>
      <c r="BM21" s="37" t="n"/>
      <c r="BN21" s="37" t="n"/>
      <c r="BO21" s="34">
        <f>SUM(C21:N21)</f>
        <v/>
      </c>
      <c r="BP21" s="34">
        <f>SUM(C21:BN21)</f>
        <v/>
      </c>
      <c r="BQ21" s="35">
        <f>IF(F21=0,0,BP21/F21)</f>
        <v/>
      </c>
    </row>
    <row r="22">
      <c r="A22" s="31" t="inlineStr">
        <is>
          <t>S020101020100</t>
        </is>
      </c>
      <c r="B22" s="31" t="inlineStr">
        <is>
          <t>1.2.1 零售活期存款</t>
        </is>
      </c>
      <c r="C22" s="32" t="n">
        <v>60000</v>
      </c>
      <c r="D22" s="32" t="n">
        <v>36000</v>
      </c>
      <c r="E22" s="32" t="n">
        <v>24000</v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7" t="n"/>
      <c r="AX22" s="37" t="n"/>
      <c r="AY22" s="37" t="n"/>
      <c r="AZ22" s="37" t="n"/>
      <c r="BA22" s="37" t="n"/>
      <c r="BB22" s="37" t="n"/>
      <c r="BC22" s="37" t="n"/>
      <c r="BD22" s="37" t="n"/>
      <c r="BE22" s="37" t="n"/>
      <c r="BF22" s="37" t="n"/>
      <c r="BG22" s="37" t="n"/>
      <c r="BH22" s="37" t="n"/>
      <c r="BI22" s="37" t="n"/>
      <c r="BJ22" s="37" t="n"/>
      <c r="BK22" s="37" t="n"/>
      <c r="BL22" s="37" t="n"/>
      <c r="BM22" s="37" t="n"/>
      <c r="BN22" s="37" t="n"/>
      <c r="BO22" s="34">
        <f>SUM(C22:N22)</f>
        <v/>
      </c>
      <c r="BP22" s="34">
        <f>SUM(C22:BN22)</f>
        <v/>
      </c>
      <c r="BQ22" s="35">
        <f>IF(F22=0,0,BP22/F22)</f>
        <v/>
      </c>
    </row>
    <row r="23">
      <c r="A23" s="31" t="inlineStr">
        <is>
          <t>S020101020200</t>
        </is>
      </c>
      <c r="B23" s="31" t="inlineStr">
        <is>
          <t>1.2.2 零售定期存款</t>
        </is>
      </c>
      <c r="C23" s="32" t="n">
        <v>35300</v>
      </c>
      <c r="D23" s="32" t="n">
        <v>35300</v>
      </c>
      <c r="E23" s="32" t="n">
        <v>23520</v>
      </c>
      <c r="F23" s="32" t="n">
        <v>11760</v>
      </c>
      <c r="G23" s="32" t="n">
        <v>11760</v>
      </c>
      <c r="H23" s="32" t="n">
        <v>11760</v>
      </c>
      <c r="I23" s="32" t="n">
        <v>11760</v>
      </c>
      <c r="J23" s="32" t="n">
        <v>11760</v>
      </c>
      <c r="K23" s="32" t="n">
        <v>11760</v>
      </c>
      <c r="L23" s="32" t="n">
        <v>11760</v>
      </c>
      <c r="M23" s="32" t="n">
        <v>11760</v>
      </c>
      <c r="N23" s="32" t="n">
        <v>11760</v>
      </c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  <c r="BA23" s="37" t="n"/>
      <c r="BB23" s="37" t="n"/>
      <c r="BC23" s="37" t="n"/>
      <c r="BD23" s="37" t="n"/>
      <c r="BE23" s="37" t="n"/>
      <c r="BF23" s="37" t="n"/>
      <c r="BG23" s="37" t="n"/>
      <c r="BH23" s="37" t="n"/>
      <c r="BI23" s="37" t="n"/>
      <c r="BJ23" s="37" t="n"/>
      <c r="BK23" s="37" t="n"/>
      <c r="BL23" s="37" t="n"/>
      <c r="BM23" s="37" t="n"/>
      <c r="BN23" s="37" t="n"/>
      <c r="BO23" s="34">
        <f>SUM(C23:N23)</f>
        <v/>
      </c>
      <c r="BP23" s="34">
        <f>SUM(C23:BN23)</f>
        <v/>
      </c>
      <c r="BQ23" s="35">
        <f>IF(F23=0,0,BP23/F23)</f>
        <v/>
      </c>
    </row>
    <row r="24">
      <c r="A24" s="31" t="inlineStr">
        <is>
          <t>S02010200000000</t>
        </is>
      </c>
      <c r="B24" s="31" t="inlineStr">
        <is>
          <t>2. 人民币市场化负债</t>
        </is>
      </c>
      <c r="C24" s="32" t="n">
        <v>21180</v>
      </c>
      <c r="D24" s="32" t="n">
        <v>21180</v>
      </c>
      <c r="E24" s="32" t="n">
        <v>14112</v>
      </c>
      <c r="F24" s="32" t="n">
        <v>7056</v>
      </c>
      <c r="G24" s="32" t="n">
        <v>7056</v>
      </c>
      <c r="H24" s="32" t="n">
        <v>7056</v>
      </c>
      <c r="I24" s="32" t="n">
        <v>7056</v>
      </c>
      <c r="J24" s="32" t="n">
        <v>7056</v>
      </c>
      <c r="K24" s="32" t="n">
        <v>7056</v>
      </c>
      <c r="L24" s="32" t="n">
        <v>7056</v>
      </c>
      <c r="M24" s="32" t="n">
        <v>7056</v>
      </c>
      <c r="N24" s="32" t="n">
        <v>7056</v>
      </c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7" t="n"/>
      <c r="AX24" s="37" t="n"/>
      <c r="AY24" s="37" t="n"/>
      <c r="AZ24" s="37" t="n"/>
      <c r="BA24" s="37" t="n"/>
      <c r="BB24" s="37" t="n"/>
      <c r="BC24" s="37" t="n"/>
      <c r="BD24" s="37" t="n"/>
      <c r="BE24" s="37" t="n"/>
      <c r="BF24" s="37" t="n"/>
      <c r="BG24" s="37" t="n"/>
      <c r="BH24" s="37" t="n"/>
      <c r="BI24" s="37" t="n"/>
      <c r="BJ24" s="37" t="n"/>
      <c r="BK24" s="37" t="n"/>
      <c r="BL24" s="37" t="n"/>
      <c r="BM24" s="37" t="n"/>
      <c r="BN24" s="37" t="n"/>
      <c r="BO24" s="34">
        <f>SUM(C24:N24)</f>
        <v/>
      </c>
      <c r="BP24" s="34">
        <f>SUM(C24:BN24)</f>
        <v/>
      </c>
      <c r="BQ24" s="35">
        <f>IF(F24=0,0,BP24/F24)</f>
        <v/>
      </c>
    </row>
    <row r="25">
      <c r="A25" s="31" t="inlineStr">
        <is>
          <t>S02020100000000</t>
        </is>
      </c>
      <c r="B25" s="31" t="inlineStr">
        <is>
          <t>1. 外币存款</t>
        </is>
      </c>
      <c r="C25" s="32" t="n">
        <v>7060</v>
      </c>
      <c r="D25" s="32" t="n">
        <v>7060</v>
      </c>
      <c r="E25" s="32" t="n">
        <v>4704</v>
      </c>
      <c r="F25" s="32" t="n">
        <v>2352</v>
      </c>
      <c r="G25" s="32" t="n">
        <v>2352</v>
      </c>
      <c r="H25" s="32" t="n">
        <v>2352</v>
      </c>
      <c r="I25" s="32" t="n">
        <v>2352</v>
      </c>
      <c r="J25" s="32" t="n">
        <v>2352</v>
      </c>
      <c r="K25" s="32" t="n">
        <v>2352</v>
      </c>
      <c r="L25" s="32" t="n">
        <v>2352</v>
      </c>
      <c r="M25" s="32" t="n">
        <v>2352</v>
      </c>
      <c r="N25" s="32" t="n">
        <v>2352</v>
      </c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7" t="n"/>
      <c r="AX25" s="37" t="n"/>
      <c r="AY25" s="37" t="n"/>
      <c r="AZ25" s="37" t="n"/>
      <c r="BA25" s="37" t="n"/>
      <c r="BB25" s="37" t="n"/>
      <c r="BC25" s="37" t="n"/>
      <c r="BD25" s="37" t="n"/>
      <c r="BE25" s="37" t="n"/>
      <c r="BF25" s="37" t="n"/>
      <c r="BG25" s="37" t="n"/>
      <c r="BH25" s="37" t="n"/>
      <c r="BI25" s="37" t="n"/>
      <c r="BJ25" s="37" t="n"/>
      <c r="BK25" s="37" t="n"/>
      <c r="BL25" s="37" t="n"/>
      <c r="BM25" s="37" t="n"/>
      <c r="BN25" s="37" t="n"/>
      <c r="BO25" s="34">
        <f>SUM(C25:N25)</f>
        <v/>
      </c>
      <c r="BP25" s="34">
        <f>SUM(C25:BN25)</f>
        <v/>
      </c>
      <c r="BQ25" s="35">
        <f>IF(F25=0,0,BP25/F25)</f>
        <v/>
      </c>
    </row>
    <row r="26">
      <c r="A26" s="31" t="inlineStr">
        <is>
          <t>S02020200000000</t>
        </is>
      </c>
      <c r="B26" s="31" t="inlineStr">
        <is>
          <t>2. 外币市场化负债</t>
        </is>
      </c>
      <c r="C26" s="32" t="n">
        <v>3530</v>
      </c>
      <c r="D26" s="32" t="n">
        <v>3530</v>
      </c>
      <c r="E26" s="32" t="n">
        <v>2352</v>
      </c>
      <c r="F26" s="32" t="n">
        <v>1176</v>
      </c>
      <c r="G26" s="32" t="n">
        <v>1176</v>
      </c>
      <c r="H26" s="32" t="n">
        <v>1176</v>
      </c>
      <c r="I26" s="32" t="n">
        <v>1176</v>
      </c>
      <c r="J26" s="32" t="n">
        <v>1176</v>
      </c>
      <c r="K26" s="32" t="n">
        <v>1176</v>
      </c>
      <c r="L26" s="32" t="n">
        <v>1176</v>
      </c>
      <c r="M26" s="32" t="n">
        <v>1176</v>
      </c>
      <c r="N26" s="32" t="n">
        <v>1176</v>
      </c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  <c r="AR26" s="37" t="n"/>
      <c r="AS26" s="37" t="n"/>
      <c r="AT26" s="37" t="n"/>
      <c r="AU26" s="37" t="n"/>
      <c r="AV26" s="37" t="n"/>
      <c r="AW26" s="37" t="n"/>
      <c r="AX26" s="37" t="n"/>
      <c r="AY26" s="37" t="n"/>
      <c r="AZ26" s="37" t="n"/>
      <c r="BA26" s="37" t="n"/>
      <c r="BB26" s="37" t="n"/>
      <c r="BC26" s="37" t="n"/>
      <c r="BD26" s="37" t="n"/>
      <c r="BE26" s="37" t="n"/>
      <c r="BF26" s="37" t="n"/>
      <c r="BG26" s="37" t="n"/>
      <c r="BH26" s="37" t="n"/>
      <c r="BI26" s="37" t="n"/>
      <c r="BJ26" s="37" t="n"/>
      <c r="BK26" s="37" t="n"/>
      <c r="BL26" s="37" t="n"/>
      <c r="BM26" s="37" t="n"/>
      <c r="BN26" s="37" t="n"/>
      <c r="BO26" s="34">
        <f>SUM(C26:N26)</f>
        <v/>
      </c>
      <c r="BP26" s="34">
        <f>SUM(C26:BN26)</f>
        <v/>
      </c>
      <c r="BQ26" s="35">
        <f>IF(F26=0,0,BP26/F26)</f>
        <v/>
      </c>
    </row>
    <row r="27">
      <c r="A27" s="31" t="inlineStr">
        <is>
          <t>S03000000000000</t>
        </is>
      </c>
      <c r="B27" s="31" t="inlineStr">
        <is>
          <t>所有者权益</t>
        </is>
      </c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  <c r="AU27" s="36" t="n"/>
      <c r="AV27" s="36" t="n"/>
      <c r="AW27" s="36" t="n"/>
      <c r="AX27" s="36" t="n"/>
      <c r="AY27" s="36" t="n"/>
      <c r="AZ27" s="36" t="n"/>
      <c r="BA27" s="36" t="n"/>
      <c r="BB27" s="36" t="n"/>
      <c r="BC27" s="36" t="n"/>
      <c r="BD27" s="36" t="n"/>
      <c r="BE27" s="36" t="n"/>
      <c r="BF27" s="36" t="n"/>
      <c r="BG27" s="36" t="n"/>
      <c r="BH27" s="36" t="n"/>
      <c r="BI27" s="36" t="n"/>
      <c r="BJ27" s="36" t="n"/>
      <c r="BK27" s="36" t="n"/>
      <c r="BL27" s="36" t="n"/>
      <c r="BM27" s="36" t="n"/>
      <c r="BN27" s="36" t="n"/>
      <c r="BO27" s="34">
        <f>SUM(C27:N27)</f>
        <v/>
      </c>
      <c r="BP27" s="34">
        <f>SUM(C27:BN27)</f>
        <v/>
      </c>
      <c r="BQ27" s="35">
        <f>IF(F27=0,0,BP27/F27)</f>
        <v/>
      </c>
    </row>
    <row r="28">
      <c r="A28" s="25" t="n"/>
      <c r="B28" s="26" t="inlineStr">
        <is>
          <t>合计</t>
        </is>
      </c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7">
        <f>SUM(BO4:BO27)</f>
        <v/>
      </c>
      <c r="BP28" s="27">
        <f>SUM(BP4:BP27)</f>
        <v/>
      </c>
      <c r="BQ28" s="25" t="n"/>
    </row>
  </sheetData>
  <mergeCells count="2">
    <mergeCell ref="A2:BQ2"/>
    <mergeCell ref="A1:B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9" customWidth="1" min="4" max="4"/>
    <col width="13" customWidth="1" min="5" max="5"/>
    <col width="11" customWidth="1" min="6" max="6"/>
    <col width="14" customWidth="1" min="7" max="7"/>
    <col width="11" customWidth="1" min="8" max="8"/>
    <col width="14" customWidth="1" min="9" max="9"/>
    <col width="14" customWidth="1" min="10" max="10"/>
    <col width="11" customWidth="1" min="11" max="11"/>
    <col width="34" customWidth="1" min="12" max="12"/>
  </cols>
  <sheetData>
    <row r="1">
      <c r="A1" s="1" t="inlineStr">
        <is>
          <t>③ 生息资产界定表 — 决定 NIM 分母的每一个账户</t>
        </is>
      </c>
    </row>
    <row r="2">
      <c r="A2" s="2" t="inlineStr">
        <is>
          <t>判定规则：资产端 且 加权平均利率 &gt; 0 → 生息资产(EA) 计入分母；利率 = 0 → 非生息(NEA) 不计入分母  |  负债端与权益不进分母，仅提供分子</t>
        </is>
      </c>
    </row>
    <row r="3" ht="34" customHeight="1">
      <c r="A3" s="3" t="inlineStr">
        <is>
          <t>账户编码</t>
        </is>
      </c>
      <c r="B3" s="3" t="inlineStr">
        <is>
          <t>账户名称</t>
        </is>
      </c>
      <c r="C3" s="3" t="inlineStr">
        <is>
          <t>业务条线</t>
        </is>
      </c>
      <c r="D3" s="3" t="inlineStr">
        <is>
          <t>账户类型</t>
        </is>
      </c>
      <c r="E3" s="3" t="inlineStr">
        <is>
          <t>当前余额
(亿元)</t>
        </is>
      </c>
      <c r="F3" s="3" t="inlineStr">
        <is>
          <t>加权平均
利率</t>
        </is>
      </c>
      <c r="G3" s="3" t="inlineStr">
        <is>
          <t>年度利息
(亿元/年)</t>
        </is>
      </c>
      <c r="H3" s="3" t="inlineStr">
        <is>
          <t>★分母归属</t>
        </is>
      </c>
      <c r="I3" s="3" t="inlineStr">
        <is>
          <t>计入分母
余额(亿元)</t>
        </is>
      </c>
      <c r="J3" s="3" t="inlineStr">
        <is>
          <t>不计入分母
余额(亿元)</t>
        </is>
      </c>
      <c r="K3" s="3" t="inlineStr">
        <is>
          <t>余额占比</t>
        </is>
      </c>
      <c r="L3" s="3" t="inlineStr">
        <is>
          <t>判定依据</t>
        </is>
      </c>
    </row>
    <row r="4">
      <c r="A4" s="4">
        <f>'①分母口径数据源'!A4</f>
        <v/>
      </c>
      <c r="B4" s="4">
        <f>'①分母口径数据源'!B4</f>
        <v/>
      </c>
      <c r="C4" s="4">
        <f>'①分母口径数据源'!D4</f>
        <v/>
      </c>
      <c r="D4" s="4">
        <f>'①分母口径数据源'!E4</f>
        <v/>
      </c>
      <c r="E4" s="7">
        <f>'①分母口径数据源'!F4</f>
        <v/>
      </c>
      <c r="F4" s="38">
        <f>'①分母口径数据源'!G4</f>
        <v/>
      </c>
      <c r="G4" s="7">
        <f>'①分母口径数据源'!H4</f>
        <v/>
      </c>
      <c r="H4" s="9">
        <f>'①分母口径数据源'!I4</f>
        <v/>
      </c>
      <c r="I4" s="7">
        <f>IF($H4="EA",$E4,0)</f>
        <v/>
      </c>
      <c r="J4" s="7">
        <f>IF($H4="NEA",$E4,0)</f>
        <v/>
      </c>
      <c r="K4" s="39">
        <f>IF(SUM($E$4:$E$19)=0,0,$E4/SUM($E$4:$E$19))</f>
        <v/>
      </c>
      <c r="L4" s="12">
        <f>IF($H4="EA","计入分母：产生利息收入","不计入：利率 0%，无利息收入")</f>
        <v/>
      </c>
    </row>
    <row r="5">
      <c r="A5" s="4">
        <f>'①分母口径数据源'!A5</f>
        <v/>
      </c>
      <c r="B5" s="4">
        <f>'①分母口径数据源'!B5</f>
        <v/>
      </c>
      <c r="C5" s="4">
        <f>'①分母口径数据源'!D5</f>
        <v/>
      </c>
      <c r="D5" s="4">
        <f>'①分母口径数据源'!E5</f>
        <v/>
      </c>
      <c r="E5" s="7">
        <f>'①分母口径数据源'!F5</f>
        <v/>
      </c>
      <c r="F5" s="38">
        <f>'①分母口径数据源'!G5</f>
        <v/>
      </c>
      <c r="G5" s="7">
        <f>'①分母口径数据源'!H5</f>
        <v/>
      </c>
      <c r="H5" s="9">
        <f>'①分母口径数据源'!I5</f>
        <v/>
      </c>
      <c r="I5" s="7">
        <f>IF($H5="EA",$E5,0)</f>
        <v/>
      </c>
      <c r="J5" s="7">
        <f>IF($H5="NEA",$E5,0)</f>
        <v/>
      </c>
      <c r="K5" s="39">
        <f>IF(SUM($E$4:$E$19)=0,0,$E5/SUM($E$4:$E$19))</f>
        <v/>
      </c>
      <c r="L5" s="12">
        <f>IF($H5="EA","计入分母：产生利息收入","不计入：利率 0%，无利息收入")</f>
        <v/>
      </c>
    </row>
    <row r="6">
      <c r="A6" s="4">
        <f>'①分母口径数据源'!A6</f>
        <v/>
      </c>
      <c r="B6" s="4">
        <f>'①分母口径数据源'!B6</f>
        <v/>
      </c>
      <c r="C6" s="4">
        <f>'①分母口径数据源'!D6</f>
        <v/>
      </c>
      <c r="D6" s="4">
        <f>'①分母口径数据源'!E6</f>
        <v/>
      </c>
      <c r="E6" s="7">
        <f>'①分母口径数据源'!F6</f>
        <v/>
      </c>
      <c r="F6" s="38">
        <f>'①分母口径数据源'!G6</f>
        <v/>
      </c>
      <c r="G6" s="7">
        <f>'①分母口径数据源'!H6</f>
        <v/>
      </c>
      <c r="H6" s="9">
        <f>'①分母口径数据源'!I6</f>
        <v/>
      </c>
      <c r="I6" s="7">
        <f>IF($H6="EA",$E6,0)</f>
        <v/>
      </c>
      <c r="J6" s="7">
        <f>IF($H6="NEA",$E6,0)</f>
        <v/>
      </c>
      <c r="K6" s="39">
        <f>IF(SUM($E$4:$E$19)=0,0,$E6/SUM($E$4:$E$19))</f>
        <v/>
      </c>
      <c r="L6" s="12">
        <f>IF($H6="EA","计入分母：产生利息收入","不计入：利率 0%，无利息收入")</f>
        <v/>
      </c>
    </row>
    <row r="7">
      <c r="A7" s="4">
        <f>'①分母口径数据源'!A7</f>
        <v/>
      </c>
      <c r="B7" s="4">
        <f>'①分母口径数据源'!B7</f>
        <v/>
      </c>
      <c r="C7" s="4">
        <f>'①分母口径数据源'!D7</f>
        <v/>
      </c>
      <c r="D7" s="4">
        <f>'①分母口径数据源'!E7</f>
        <v/>
      </c>
      <c r="E7" s="7">
        <f>'①分母口径数据源'!F7</f>
        <v/>
      </c>
      <c r="F7" s="38">
        <f>'①分母口径数据源'!G7</f>
        <v/>
      </c>
      <c r="G7" s="7">
        <f>'①分母口径数据源'!H7</f>
        <v/>
      </c>
      <c r="H7" s="9">
        <f>'①分母口径数据源'!I7</f>
        <v/>
      </c>
      <c r="I7" s="7">
        <f>IF($H7="EA",$E7,0)</f>
        <v/>
      </c>
      <c r="J7" s="7">
        <f>IF($H7="NEA",$E7,0)</f>
        <v/>
      </c>
      <c r="K7" s="39">
        <f>IF(SUM($E$4:$E$19)=0,0,$E7/SUM($E$4:$E$19))</f>
        <v/>
      </c>
      <c r="L7" s="12">
        <f>IF($H7="EA","计入分母：产生利息收入","不计入：利率 0%，无利息收入")</f>
        <v/>
      </c>
    </row>
    <row r="8">
      <c r="A8" s="4">
        <f>'①分母口径数据源'!A8</f>
        <v/>
      </c>
      <c r="B8" s="4">
        <f>'①分母口径数据源'!B8</f>
        <v/>
      </c>
      <c r="C8" s="4">
        <f>'①分母口径数据源'!D8</f>
        <v/>
      </c>
      <c r="D8" s="4">
        <f>'①分母口径数据源'!E8</f>
        <v/>
      </c>
      <c r="E8" s="7">
        <f>'①分母口径数据源'!F8</f>
        <v/>
      </c>
      <c r="F8" s="38">
        <f>'①分母口径数据源'!G8</f>
        <v/>
      </c>
      <c r="G8" s="7">
        <f>'①分母口径数据源'!H8</f>
        <v/>
      </c>
      <c r="H8" s="9">
        <f>'①分母口径数据源'!I8</f>
        <v/>
      </c>
      <c r="I8" s="7">
        <f>IF($H8="EA",$E8,0)</f>
        <v/>
      </c>
      <c r="J8" s="7">
        <f>IF($H8="NEA",$E8,0)</f>
        <v/>
      </c>
      <c r="K8" s="39">
        <f>IF(SUM($E$4:$E$19)=0,0,$E8/SUM($E$4:$E$19))</f>
        <v/>
      </c>
      <c r="L8" s="12">
        <f>IF($H8="EA","计入分母：产生利息收入","不计入：利率 0%，无利息收入")</f>
        <v/>
      </c>
    </row>
    <row r="9">
      <c r="A9" s="4">
        <f>'①分母口径数据源'!A9</f>
        <v/>
      </c>
      <c r="B9" s="4">
        <f>'①分母口径数据源'!B9</f>
        <v/>
      </c>
      <c r="C9" s="4">
        <f>'①分母口径数据源'!D9</f>
        <v/>
      </c>
      <c r="D9" s="4">
        <f>'①分母口径数据源'!E9</f>
        <v/>
      </c>
      <c r="E9" s="7">
        <f>'①分母口径数据源'!F9</f>
        <v/>
      </c>
      <c r="F9" s="38">
        <f>'①分母口径数据源'!G9</f>
        <v/>
      </c>
      <c r="G9" s="7">
        <f>'①分母口径数据源'!H9</f>
        <v/>
      </c>
      <c r="H9" s="9">
        <f>'①分母口径数据源'!I9</f>
        <v/>
      </c>
      <c r="I9" s="7">
        <f>IF($H9="EA",$E9,0)</f>
        <v/>
      </c>
      <c r="J9" s="7">
        <f>IF($H9="NEA",$E9,0)</f>
        <v/>
      </c>
      <c r="K9" s="39">
        <f>IF(SUM($E$4:$E$19)=0,0,$E9/SUM($E$4:$E$19))</f>
        <v/>
      </c>
      <c r="L9" s="12">
        <f>IF($H9="EA","计入分母：产生利息收入","不计入：利率 0%，无利息收入")</f>
        <v/>
      </c>
    </row>
    <row r="10">
      <c r="A10" s="4">
        <f>'①分母口径数据源'!A10</f>
        <v/>
      </c>
      <c r="B10" s="4">
        <f>'①分母口径数据源'!B10</f>
        <v/>
      </c>
      <c r="C10" s="4">
        <f>'①分母口径数据源'!D10</f>
        <v/>
      </c>
      <c r="D10" s="4">
        <f>'①分母口径数据源'!E10</f>
        <v/>
      </c>
      <c r="E10" s="7">
        <f>'①分母口径数据源'!F10</f>
        <v/>
      </c>
      <c r="F10" s="38">
        <f>'①分母口径数据源'!G10</f>
        <v/>
      </c>
      <c r="G10" s="7">
        <f>'①分母口径数据源'!H10</f>
        <v/>
      </c>
      <c r="H10" s="9">
        <f>'①分母口径数据源'!I10</f>
        <v/>
      </c>
      <c r="I10" s="7">
        <f>IF($H10="EA",$E10,0)</f>
        <v/>
      </c>
      <c r="J10" s="7">
        <f>IF($H10="NEA",$E10,0)</f>
        <v/>
      </c>
      <c r="K10" s="39">
        <f>IF(SUM($E$4:$E$19)=0,0,$E10/SUM($E$4:$E$19))</f>
        <v/>
      </c>
      <c r="L10" s="12">
        <f>IF($H10="EA","计入分母：产生利息收入","不计入：利率 0%，无利息收入")</f>
        <v/>
      </c>
    </row>
    <row r="11">
      <c r="A11" s="4">
        <f>'①分母口径数据源'!A11</f>
        <v/>
      </c>
      <c r="B11" s="4">
        <f>'①分母口径数据源'!B11</f>
        <v/>
      </c>
      <c r="C11" s="4">
        <f>'①分母口径数据源'!D11</f>
        <v/>
      </c>
      <c r="D11" s="4">
        <f>'①分母口径数据源'!E11</f>
        <v/>
      </c>
      <c r="E11" s="7">
        <f>'①分母口径数据源'!F11</f>
        <v/>
      </c>
      <c r="F11" s="38">
        <f>'①分母口径数据源'!G11</f>
        <v/>
      </c>
      <c r="G11" s="7">
        <f>'①分母口径数据源'!H11</f>
        <v/>
      </c>
      <c r="H11" s="9">
        <f>'①分母口径数据源'!I11</f>
        <v/>
      </c>
      <c r="I11" s="7">
        <f>IF($H11="EA",$E11,0)</f>
        <v/>
      </c>
      <c r="J11" s="7">
        <f>IF($H11="NEA",$E11,0)</f>
        <v/>
      </c>
      <c r="K11" s="39">
        <f>IF(SUM($E$4:$E$19)=0,0,$E11/SUM($E$4:$E$19))</f>
        <v/>
      </c>
      <c r="L11" s="12">
        <f>IF($H11="EA","计入分母：产生利息收入","不计入：利率 0%，无利息收入")</f>
        <v/>
      </c>
    </row>
    <row r="12">
      <c r="A12" s="4">
        <f>'①分母口径数据源'!A12</f>
        <v/>
      </c>
      <c r="B12" s="4">
        <f>'①分母口径数据源'!B12</f>
        <v/>
      </c>
      <c r="C12" s="4">
        <f>'①分母口径数据源'!D12</f>
        <v/>
      </c>
      <c r="D12" s="4">
        <f>'①分母口径数据源'!E12</f>
        <v/>
      </c>
      <c r="E12" s="7">
        <f>'①分母口径数据源'!F12</f>
        <v/>
      </c>
      <c r="F12" s="38">
        <f>'①分母口径数据源'!G12</f>
        <v/>
      </c>
      <c r="G12" s="7">
        <f>'①分母口径数据源'!H12</f>
        <v/>
      </c>
      <c r="H12" s="9">
        <f>'①分母口径数据源'!I12</f>
        <v/>
      </c>
      <c r="I12" s="7">
        <f>IF($H12="EA",$E12,0)</f>
        <v/>
      </c>
      <c r="J12" s="7">
        <f>IF($H12="NEA",$E12,0)</f>
        <v/>
      </c>
      <c r="K12" s="39">
        <f>IF(SUM($E$4:$E$19)=0,0,$E12/SUM($E$4:$E$19))</f>
        <v/>
      </c>
      <c r="L12" s="12">
        <f>IF($H12="EA","计入分母：产生利息收入","不计入：利率 0%，无利息收入")</f>
        <v/>
      </c>
    </row>
    <row r="13">
      <c r="A13" s="4">
        <f>'①分母口径数据源'!A13</f>
        <v/>
      </c>
      <c r="B13" s="4">
        <f>'①分母口径数据源'!B13</f>
        <v/>
      </c>
      <c r="C13" s="4">
        <f>'①分母口径数据源'!D13</f>
        <v/>
      </c>
      <c r="D13" s="4">
        <f>'①分母口径数据源'!E13</f>
        <v/>
      </c>
      <c r="E13" s="7">
        <f>'①分母口径数据源'!F13</f>
        <v/>
      </c>
      <c r="F13" s="38">
        <f>'①分母口径数据源'!G13</f>
        <v/>
      </c>
      <c r="G13" s="7">
        <f>'①分母口径数据源'!H13</f>
        <v/>
      </c>
      <c r="H13" s="9">
        <f>'①分母口径数据源'!I13</f>
        <v/>
      </c>
      <c r="I13" s="7">
        <f>IF($H13="EA",$E13,0)</f>
        <v/>
      </c>
      <c r="J13" s="7">
        <f>IF($H13="NEA",$E13,0)</f>
        <v/>
      </c>
      <c r="K13" s="39">
        <f>IF(SUM($E$4:$E$19)=0,0,$E13/SUM($E$4:$E$19))</f>
        <v/>
      </c>
      <c r="L13" s="12">
        <f>IF($H13="EA","计入分母：产生利息收入","不计入：利率 0%，无利息收入")</f>
        <v/>
      </c>
    </row>
    <row r="14">
      <c r="A14" s="4">
        <f>'①分母口径数据源'!A14</f>
        <v/>
      </c>
      <c r="B14" s="4">
        <f>'①分母口径数据源'!B14</f>
        <v/>
      </c>
      <c r="C14" s="4">
        <f>'①分母口径数据源'!D14</f>
        <v/>
      </c>
      <c r="D14" s="4">
        <f>'①分母口径数据源'!E14</f>
        <v/>
      </c>
      <c r="E14" s="7">
        <f>'①分母口径数据源'!F14</f>
        <v/>
      </c>
      <c r="F14" s="38">
        <f>'①分母口径数据源'!G14</f>
        <v/>
      </c>
      <c r="G14" s="7">
        <f>'①分母口径数据源'!H14</f>
        <v/>
      </c>
      <c r="H14" s="9">
        <f>'①分母口径数据源'!I14</f>
        <v/>
      </c>
      <c r="I14" s="7">
        <f>IF($H14="EA",$E14,0)</f>
        <v/>
      </c>
      <c r="J14" s="7">
        <f>IF($H14="NEA",$E14,0)</f>
        <v/>
      </c>
      <c r="K14" s="39">
        <f>IF(SUM($E$4:$E$19)=0,0,$E14/SUM($E$4:$E$19))</f>
        <v/>
      </c>
      <c r="L14" s="12">
        <f>IF($H14="EA","计入分母：产生利息收入","不计入：利率 0%，无利息收入")</f>
        <v/>
      </c>
    </row>
    <row r="15">
      <c r="A15" s="13">
        <f>'①分母口径数据源'!A15</f>
        <v/>
      </c>
      <c r="B15" s="13">
        <f>'①分母口径数据源'!B15</f>
        <v/>
      </c>
      <c r="C15" s="13">
        <f>'①分母口径数据源'!D15</f>
        <v/>
      </c>
      <c r="D15" s="13">
        <f>'①分母口径数据源'!E15</f>
        <v/>
      </c>
      <c r="E15" s="14">
        <f>'①分母口径数据源'!F15</f>
        <v/>
      </c>
      <c r="F15" s="40">
        <f>'①分母口径数据源'!G15</f>
        <v/>
      </c>
      <c r="G15" s="14">
        <f>'①分母口径数据源'!H15</f>
        <v/>
      </c>
      <c r="H15" s="15">
        <f>'①分母口径数据源'!I15</f>
        <v/>
      </c>
      <c r="I15" s="14">
        <f>IF($H15="EA",$E15,0)</f>
        <v/>
      </c>
      <c r="J15" s="14">
        <f>IF($H15="NEA",$E15,0)</f>
        <v/>
      </c>
      <c r="K15" s="41">
        <f>IF(SUM($E$4:$E$19)=0,0,$E15/SUM($E$4:$E$19))</f>
        <v/>
      </c>
      <c r="L15" s="18">
        <f>IF($H15="EA","计入分母：产生利息收入","不计入：利率 0%，无利息收入")</f>
        <v/>
      </c>
    </row>
    <row r="16">
      <c r="A16" s="4">
        <f>'①分母口径数据源'!A16</f>
        <v/>
      </c>
      <c r="B16" s="4">
        <f>'①分母口径数据源'!B16</f>
        <v/>
      </c>
      <c r="C16" s="4">
        <f>'①分母口径数据源'!D16</f>
        <v/>
      </c>
      <c r="D16" s="4">
        <f>'①分母口径数据源'!E16</f>
        <v/>
      </c>
      <c r="E16" s="7">
        <f>'①分母口径数据源'!F16</f>
        <v/>
      </c>
      <c r="F16" s="38">
        <f>'①分母口径数据源'!G16</f>
        <v/>
      </c>
      <c r="G16" s="7">
        <f>'①分母口径数据源'!H16</f>
        <v/>
      </c>
      <c r="H16" s="9">
        <f>'①分母口径数据源'!I16</f>
        <v/>
      </c>
      <c r="I16" s="7">
        <f>IF($H16="EA",$E16,0)</f>
        <v/>
      </c>
      <c r="J16" s="7">
        <f>IF($H16="NEA",$E16,0)</f>
        <v/>
      </c>
      <c r="K16" s="39">
        <f>IF(SUM($E$4:$E$19)=0,0,$E16/SUM($E$4:$E$19))</f>
        <v/>
      </c>
      <c r="L16" s="12">
        <f>IF($H16="EA","计入分母：产生利息收入","不计入：利率 0%，无利息收入")</f>
        <v/>
      </c>
    </row>
    <row r="17">
      <c r="A17" s="4">
        <f>'①分母口径数据源'!A17</f>
        <v/>
      </c>
      <c r="B17" s="4">
        <f>'①分母口径数据源'!B17</f>
        <v/>
      </c>
      <c r="C17" s="4">
        <f>'①分母口径数据源'!D17</f>
        <v/>
      </c>
      <c r="D17" s="4">
        <f>'①分母口径数据源'!E17</f>
        <v/>
      </c>
      <c r="E17" s="7">
        <f>'①分母口径数据源'!F17</f>
        <v/>
      </c>
      <c r="F17" s="38">
        <f>'①分母口径数据源'!G17</f>
        <v/>
      </c>
      <c r="G17" s="7">
        <f>'①分母口径数据源'!H17</f>
        <v/>
      </c>
      <c r="H17" s="9">
        <f>'①分母口径数据源'!I17</f>
        <v/>
      </c>
      <c r="I17" s="7">
        <f>IF($H17="EA",$E17,0)</f>
        <v/>
      </c>
      <c r="J17" s="7">
        <f>IF($H17="NEA",$E17,0)</f>
        <v/>
      </c>
      <c r="K17" s="39">
        <f>IF(SUM($E$4:$E$19)=0,0,$E17/SUM($E$4:$E$19))</f>
        <v/>
      </c>
      <c r="L17" s="12">
        <f>IF($H17="EA","计入分母：产生利息收入","不计入：利率 0%，无利息收入")</f>
        <v/>
      </c>
    </row>
    <row r="18">
      <c r="A18" s="4">
        <f>'①分母口径数据源'!A18</f>
        <v/>
      </c>
      <c r="B18" s="4">
        <f>'①分母口径数据源'!B18</f>
        <v/>
      </c>
      <c r="C18" s="4">
        <f>'①分母口径数据源'!D18</f>
        <v/>
      </c>
      <c r="D18" s="4">
        <f>'①分母口径数据源'!E18</f>
        <v/>
      </c>
      <c r="E18" s="7">
        <f>'①分母口径数据源'!F18</f>
        <v/>
      </c>
      <c r="F18" s="38">
        <f>'①分母口径数据源'!G18</f>
        <v/>
      </c>
      <c r="G18" s="7">
        <f>'①分母口径数据源'!H18</f>
        <v/>
      </c>
      <c r="H18" s="9">
        <f>'①分母口径数据源'!I18</f>
        <v/>
      </c>
      <c r="I18" s="7">
        <f>IF($H18="EA",$E18,0)</f>
        <v/>
      </c>
      <c r="J18" s="7">
        <f>IF($H18="NEA",$E18,0)</f>
        <v/>
      </c>
      <c r="K18" s="39">
        <f>IF(SUM($E$4:$E$19)=0,0,$E18/SUM($E$4:$E$19))</f>
        <v/>
      </c>
      <c r="L18" s="12">
        <f>IF($H18="EA","计入分母：产生利息收入","不计入：利率 0%，无利息收入")</f>
        <v/>
      </c>
    </row>
    <row r="19">
      <c r="A19" s="13">
        <f>'①分母口径数据源'!A19</f>
        <v/>
      </c>
      <c r="B19" s="13">
        <f>'①分母口径数据源'!B19</f>
        <v/>
      </c>
      <c r="C19" s="13">
        <f>'①分母口径数据源'!D19</f>
        <v/>
      </c>
      <c r="D19" s="13">
        <f>'①分母口径数据源'!E19</f>
        <v/>
      </c>
      <c r="E19" s="14">
        <f>'①分母口径数据源'!F19</f>
        <v/>
      </c>
      <c r="F19" s="40">
        <f>'①分母口径数据源'!G19</f>
        <v/>
      </c>
      <c r="G19" s="14">
        <f>'①分母口径数据源'!H19</f>
        <v/>
      </c>
      <c r="H19" s="15">
        <f>'①分母口径数据源'!I19</f>
        <v/>
      </c>
      <c r="I19" s="14">
        <f>IF($H19="EA",$E19,0)</f>
        <v/>
      </c>
      <c r="J19" s="14">
        <f>IF($H19="NEA",$E19,0)</f>
        <v/>
      </c>
      <c r="K19" s="41">
        <f>IF(SUM($E$4:$E$19)=0,0,$E19/SUM($E$4:$E$19))</f>
        <v/>
      </c>
      <c r="L19" s="18">
        <f>IF($H19="EA","计入分母：产生利息收入","不计入：利率 0%，无利息收入")</f>
        <v/>
      </c>
    </row>
    <row r="20">
      <c r="A20" s="25" t="n"/>
      <c r="B20" s="26" t="inlineStr">
        <is>
          <t>资产端合计</t>
        </is>
      </c>
      <c r="C20" s="25" t="n"/>
      <c r="D20" s="25" t="n"/>
      <c r="E20" s="27">
        <f>SUM(E4:E19)</f>
        <v/>
      </c>
      <c r="F20" s="25" t="n"/>
      <c r="G20" s="27">
        <f>SUM(G4:G19)</f>
        <v/>
      </c>
      <c r="H20" s="25" t="n"/>
      <c r="I20" s="27">
        <f>SUM(I4:I19)</f>
        <v/>
      </c>
      <c r="J20" s="27">
        <f>SUM(J4:J19)</f>
        <v/>
      </c>
      <c r="K20" s="42">
        <f>SUM(K4:K19)</f>
        <v/>
      </c>
      <c r="L20" s="29" t="inlineStr">
        <is>
          <t>I 列 = 生息资产（NIM 分母），J 列 = 非生息资产</t>
        </is>
      </c>
    </row>
    <row r="21">
      <c r="A21" s="43" t="n"/>
      <c r="B21" s="44" t="inlineStr">
        <is>
          <t>★ 生息资产合计（NIM 分母）</t>
        </is>
      </c>
      <c r="C21" s="43" t="n"/>
      <c r="D21" s="43" t="n"/>
      <c r="E21" s="45">
        <f>I20</f>
        <v/>
      </c>
      <c r="F21" s="46">
        <f>IF(E21=0,0,G21/E21)</f>
        <v/>
      </c>
      <c r="G21" s="45">
        <f>SUMIF($H$4:$H$19,"EA",$G$4:$G$19)</f>
        <v/>
      </c>
      <c r="H21" s="43" t="n"/>
      <c r="I21" s="43" t="n"/>
      <c r="J21" s="43" t="n"/>
      <c r="K21" s="43" t="n"/>
      <c r="L21" s="44" t="inlineStr">
        <is>
          <t>F 列 = 生息资产加权平均收益率 ★ NIM 分子/分母</t>
        </is>
      </c>
    </row>
    <row r="22">
      <c r="A22" s="47" t="n"/>
      <c r="B22" s="48" t="inlineStr">
        <is>
          <t>非生息资产合计（不计入分母）</t>
        </is>
      </c>
      <c r="C22" s="47" t="n"/>
      <c r="D22" s="47" t="n"/>
      <c r="E22" s="34">
        <f>J20</f>
        <v/>
      </c>
      <c r="F22" s="47" t="n"/>
      <c r="G22" s="47" t="n"/>
      <c r="H22" s="47" t="n"/>
      <c r="I22" s="47" t="n"/>
      <c r="J22" s="47" t="n"/>
      <c r="K22" s="47" t="n"/>
      <c r="L22" s="49" t="inlineStr">
        <is>
          <t>现金 / 其它非生息资产</t>
        </is>
      </c>
    </row>
    <row r="24">
      <c r="A24" s="50" t="inlineStr">
        <is>
          <t>【校验】与参照物总量核对</t>
        </is>
      </c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</row>
    <row r="25">
      <c r="A25" s="47" t="n"/>
      <c r="B25" s="31" t="inlineStr">
        <is>
          <t>参照物总资产（基础数据 EJ 列 R4）</t>
        </is>
      </c>
      <c r="C25" s="47" t="n"/>
      <c r="D25" s="47" t="n"/>
      <c r="E25" s="52" t="n">
        <v>1080000</v>
      </c>
      <c r="F25" s="47" t="n"/>
      <c r="G25" s="47" t="n"/>
      <c r="H25" s="47" t="n"/>
      <c r="I25" s="47" t="n"/>
      <c r="J25" s="47" t="n"/>
      <c r="K25" s="47" t="n"/>
      <c r="L25" s="49" t="inlineStr">
        <is>
          <t>参照物总资产（基础数据 R4 EJ 列）</t>
        </is>
      </c>
    </row>
    <row r="26">
      <c r="A26" s="47" t="n"/>
      <c r="B26" s="48" t="inlineStr">
        <is>
          <t>校验：资产端合计 − 参照物总资产（应为 0）</t>
        </is>
      </c>
      <c r="C26" s="47" t="n"/>
      <c r="D26" s="47" t="n"/>
      <c r="E26" s="53">
        <f>ROUND(E20-E25,6)</f>
        <v/>
      </c>
      <c r="F26" s="47" t="n"/>
      <c r="G26" s="47" t="n"/>
      <c r="H26" s="47" t="n"/>
      <c r="I26" s="47" t="n"/>
      <c r="J26" s="47" t="n"/>
      <c r="K26" s="47" t="n"/>
      <c r="L26" s="49" t="inlineStr">
        <is>
          <t>末级账户余额加总应等于总资产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9" customWidth="1" min="4" max="4"/>
    <col width="13" customWidth="1" min="5" max="5"/>
    <col width="11" customWidth="1" min="6" max="6"/>
    <col width="14" customWidth="1" min="7" max="7"/>
    <col width="12" customWidth="1" min="8" max="8"/>
    <col width="12" customWidth="1" min="9" max="9"/>
    <col width="13" customWidth="1" min="10" max="10"/>
    <col width="11" customWidth="1" min="11" max="11"/>
    <col width="32" customWidth="1" min="12" max="12"/>
  </cols>
  <sheetData>
    <row r="1">
      <c r="A1" s="1" t="inlineStr">
        <is>
          <t>④ 计息负债明细 — NIM 分子的负债端构成</t>
        </is>
      </c>
    </row>
    <row r="2">
      <c r="A2" s="2" t="inlineStr">
        <is>
          <t>计息负债全部计入 NIM 分子（利息支出）；活期存款 3 桶结构，1 年内 100% 到期，成本刚性</t>
        </is>
      </c>
    </row>
    <row r="3" ht="34" customHeight="1">
      <c r="A3" s="3" t="inlineStr">
        <is>
          <t>账户编码</t>
        </is>
      </c>
      <c r="B3" s="3" t="inlineStr">
        <is>
          <t>账户名称</t>
        </is>
      </c>
      <c r="C3" s="3" t="inlineStr">
        <is>
          <t>业务条线</t>
        </is>
      </c>
      <c r="D3" s="3" t="inlineStr">
        <is>
          <t>账户类型</t>
        </is>
      </c>
      <c r="E3" s="3" t="inlineStr">
        <is>
          <t>当前余额
(亿元)</t>
        </is>
      </c>
      <c r="F3" s="3" t="inlineStr">
        <is>
          <t>加权平均
利率</t>
        </is>
      </c>
      <c r="G3" s="3" t="inlineStr">
        <is>
          <t>年度利息
(亿元/年)</t>
        </is>
      </c>
      <c r="H3" s="3" t="inlineStr">
        <is>
          <t>利息支出
占比</t>
        </is>
      </c>
      <c r="I3" s="3" t="inlineStr">
        <is>
          <t>累计占比</t>
        </is>
      </c>
      <c r="J3" s="3" t="inlineStr">
        <is>
          <t>1年内到期
(亿元)</t>
        </is>
      </c>
      <c r="K3" s="3" t="inlineStr">
        <is>
          <t>到期占比</t>
        </is>
      </c>
      <c r="L3" s="3" t="inlineStr">
        <is>
          <t>结构说明</t>
        </is>
      </c>
    </row>
    <row r="4">
      <c r="A4" s="19">
        <f>'①分母口径数据源'!A20</f>
        <v/>
      </c>
      <c r="B4" s="19">
        <f>'①分母口径数据源'!B20</f>
        <v/>
      </c>
      <c r="C4" s="19">
        <f>'①分母口径数据源'!D20</f>
        <v/>
      </c>
      <c r="D4" s="19">
        <f>'①分母口径数据源'!E20</f>
        <v/>
      </c>
      <c r="E4" s="54">
        <f>'①分母口径数据源'!F20</f>
        <v/>
      </c>
      <c r="F4" s="55">
        <f>'①分母口径数据源'!G20</f>
        <v/>
      </c>
      <c r="G4" s="54">
        <f>'①分母口径数据源'!H20</f>
        <v/>
      </c>
      <c r="H4" s="56">
        <f>IF($G$11=0,0,G4/$G$11)</f>
        <v/>
      </c>
      <c r="I4" s="56">
        <f>H4</f>
        <v/>
      </c>
      <c r="J4" s="54">
        <f>'①分母口径数据源'!L20</f>
        <v/>
      </c>
      <c r="K4" s="56">
        <f>IF(E4=0,0,J4/E4)</f>
        <v/>
      </c>
      <c r="L4" s="24" t="inlineStr">
        <is>
          <t>3 桶（1M~3M），1 年内 100% 到期，成本几乎不随政策利率变动</t>
        </is>
      </c>
    </row>
    <row r="5">
      <c r="A5" s="19">
        <f>'①分母口径数据源'!A21</f>
        <v/>
      </c>
      <c r="B5" s="19">
        <f>'①分母口径数据源'!B21</f>
        <v/>
      </c>
      <c r="C5" s="19">
        <f>'①分母口径数据源'!D21</f>
        <v/>
      </c>
      <c r="D5" s="19">
        <f>'①分母口径数据源'!E21</f>
        <v/>
      </c>
      <c r="E5" s="54">
        <f>'①分母口径数据源'!F21</f>
        <v/>
      </c>
      <c r="F5" s="55">
        <f>'①分母口径数据源'!G21</f>
        <v/>
      </c>
      <c r="G5" s="54">
        <f>'①分母口径数据源'!H21</f>
        <v/>
      </c>
      <c r="H5" s="56">
        <f>IF($G$11=0,0,G5/$G$11)</f>
        <v/>
      </c>
      <c r="I5" s="56">
        <f>I4+H5</f>
        <v/>
      </c>
      <c r="J5" s="54">
        <f>'①分母口径数据源'!L21</f>
        <v/>
      </c>
      <c r="K5" s="56">
        <f>IF(E5=0,0,J5/E5)</f>
        <v/>
      </c>
      <c r="L5" s="24" t="inlineStr">
        <is>
          <t>12 桶（1M~12M），到期续作时重定价</t>
        </is>
      </c>
    </row>
    <row r="6">
      <c r="A6" s="19">
        <f>'①分母口径数据源'!A22</f>
        <v/>
      </c>
      <c r="B6" s="19">
        <f>'①分母口径数据源'!B22</f>
        <v/>
      </c>
      <c r="C6" s="19">
        <f>'①分母口径数据源'!D22</f>
        <v/>
      </c>
      <c r="D6" s="19">
        <f>'①分母口径数据源'!E22</f>
        <v/>
      </c>
      <c r="E6" s="54">
        <f>'①分母口径数据源'!F22</f>
        <v/>
      </c>
      <c r="F6" s="55">
        <f>'①分母口径数据源'!G22</f>
        <v/>
      </c>
      <c r="G6" s="54">
        <f>'①分母口径数据源'!H22</f>
        <v/>
      </c>
      <c r="H6" s="56">
        <f>IF($G$11=0,0,G6/$G$11)</f>
        <v/>
      </c>
      <c r="I6" s="56">
        <f>I5+H6</f>
        <v/>
      </c>
      <c r="J6" s="54">
        <f>'①分母口径数据源'!L22</f>
        <v/>
      </c>
      <c r="K6" s="56">
        <f>IF(E6=0,0,J6/E6)</f>
        <v/>
      </c>
      <c r="L6" s="24" t="inlineStr">
        <is>
          <t>3 桶（1M~3M），1 年内 100% 到期，成本几乎不随政策利率变动</t>
        </is>
      </c>
    </row>
    <row r="7">
      <c r="A7" s="19">
        <f>'①分母口径数据源'!A23</f>
        <v/>
      </c>
      <c r="B7" s="19">
        <f>'①分母口径数据源'!B23</f>
        <v/>
      </c>
      <c r="C7" s="19">
        <f>'①分母口径数据源'!D23</f>
        <v/>
      </c>
      <c r="D7" s="19">
        <f>'①分母口径数据源'!E23</f>
        <v/>
      </c>
      <c r="E7" s="54">
        <f>'①分母口径数据源'!F23</f>
        <v/>
      </c>
      <c r="F7" s="55">
        <f>'①分母口径数据源'!G23</f>
        <v/>
      </c>
      <c r="G7" s="54">
        <f>'①分母口径数据源'!H23</f>
        <v/>
      </c>
      <c r="H7" s="56">
        <f>IF($G$11=0,0,G7/$G$11)</f>
        <v/>
      </c>
      <c r="I7" s="56">
        <f>I6+H7</f>
        <v/>
      </c>
      <c r="J7" s="54">
        <f>'①分母口径数据源'!L23</f>
        <v/>
      </c>
      <c r="K7" s="56">
        <f>IF(E7=0,0,J7/E7)</f>
        <v/>
      </c>
      <c r="L7" s="24" t="inlineStr">
        <is>
          <t>12 桶（1M~12M），到期续作时重定价</t>
        </is>
      </c>
    </row>
    <row r="8">
      <c r="A8" s="19">
        <f>'①分母口径数据源'!A24</f>
        <v/>
      </c>
      <c r="B8" s="19">
        <f>'①分母口径数据源'!B24</f>
        <v/>
      </c>
      <c r="C8" s="19">
        <f>'①分母口径数据源'!D24</f>
        <v/>
      </c>
      <c r="D8" s="19">
        <f>'①分母口径数据源'!E24</f>
        <v/>
      </c>
      <c r="E8" s="54">
        <f>'①分母口径数据源'!F24</f>
        <v/>
      </c>
      <c r="F8" s="55">
        <f>'①分母口径数据源'!G24</f>
        <v/>
      </c>
      <c r="G8" s="54">
        <f>'①分母口径数据源'!H24</f>
        <v/>
      </c>
      <c r="H8" s="56">
        <f>IF($G$11=0,0,G8/$G$11)</f>
        <v/>
      </c>
      <c r="I8" s="56">
        <f>I7+H8</f>
        <v/>
      </c>
      <c r="J8" s="54">
        <f>'①分母口径数据源'!L24</f>
        <v/>
      </c>
      <c r="K8" s="56">
        <f>IF(E8=0,0,J8/E8)</f>
        <v/>
      </c>
      <c r="L8" s="24" t="inlineStr">
        <is>
          <t>12 桶货币市场工具，SHIBOR/DR 联动，β 接近 1</t>
        </is>
      </c>
    </row>
    <row r="9">
      <c r="A9" s="19">
        <f>'①分母口径数据源'!A25</f>
        <v/>
      </c>
      <c r="B9" s="19">
        <f>'①分母口径数据源'!B25</f>
        <v/>
      </c>
      <c r="C9" s="19">
        <f>'①分母口径数据源'!D25</f>
        <v/>
      </c>
      <c r="D9" s="19">
        <f>'①分母口径数据源'!E25</f>
        <v/>
      </c>
      <c r="E9" s="54">
        <f>'①分母口径数据源'!F25</f>
        <v/>
      </c>
      <c r="F9" s="55">
        <f>'①分母口径数据源'!G25</f>
        <v/>
      </c>
      <c r="G9" s="54">
        <f>'①分母口径数据源'!H25</f>
        <v/>
      </c>
      <c r="H9" s="56">
        <f>IF($G$11=0,0,G9/$G$11)</f>
        <v/>
      </c>
      <c r="I9" s="56">
        <f>I8+H9</f>
        <v/>
      </c>
      <c r="J9" s="54">
        <f>'①分母口径数据源'!L25</f>
        <v/>
      </c>
      <c r="K9" s="56">
        <f>IF(E9=0,0,J9/E9)</f>
        <v/>
      </c>
      <c r="L9" s="24" t="inlineStr">
        <is>
          <t>折人民币，受境内外利差与汇率影响</t>
        </is>
      </c>
    </row>
    <row r="10">
      <c r="A10" s="19">
        <f>'①分母口径数据源'!A26</f>
        <v/>
      </c>
      <c r="B10" s="19">
        <f>'①分母口径数据源'!B26</f>
        <v/>
      </c>
      <c r="C10" s="19">
        <f>'①分母口径数据源'!D26</f>
        <v/>
      </c>
      <c r="D10" s="19">
        <f>'①分母口径数据源'!E26</f>
        <v/>
      </c>
      <c r="E10" s="54">
        <f>'①分母口径数据源'!F26</f>
        <v/>
      </c>
      <c r="F10" s="55">
        <f>'①分母口径数据源'!G26</f>
        <v/>
      </c>
      <c r="G10" s="54">
        <f>'①分母口径数据源'!H26</f>
        <v/>
      </c>
      <c r="H10" s="56">
        <f>IF($G$11=0,0,G10/$G$11)</f>
        <v/>
      </c>
      <c r="I10" s="56">
        <f>I9+H10</f>
        <v/>
      </c>
      <c r="J10" s="54">
        <f>'①分母口径数据源'!L26</f>
        <v/>
      </c>
      <c r="K10" s="56">
        <f>IF(E10=0,0,J10/E10)</f>
        <v/>
      </c>
      <c r="L10" s="24" t="inlineStr">
        <is>
          <t>折人民币，受境内外利差与汇率影响</t>
        </is>
      </c>
    </row>
    <row r="11">
      <c r="A11" s="25" t="n"/>
      <c r="B11" s="26" t="inlineStr">
        <is>
          <t>计息负债合计</t>
        </is>
      </c>
      <c r="C11" s="25" t="n"/>
      <c r="D11" s="25" t="n"/>
      <c r="E11" s="27">
        <f>SUM(E4:E10)</f>
        <v/>
      </c>
      <c r="F11" s="28">
        <f>IF(E11=0,0,G11/E11)</f>
        <v/>
      </c>
      <c r="G11" s="27">
        <f>SUM(G4:G10)</f>
        <v/>
      </c>
      <c r="H11" s="42">
        <f>SUM(H4:H10)</f>
        <v/>
      </c>
      <c r="I11" s="42">
        <f>I10</f>
        <v/>
      </c>
      <c r="J11" s="27">
        <f>SUM(J4:J10)</f>
        <v/>
      </c>
      <c r="K11" s="42">
        <f>IF(E11=0,0,J11/E11)</f>
        <v/>
      </c>
      <c r="L11" s="29" t="inlineStr">
        <is>
          <t>F 列 = 计息负债加权平均成本率</t>
        </is>
      </c>
    </row>
    <row r="13">
      <c r="A13" s="50" t="inlineStr">
        <is>
          <t>【附】按账户类型分组小计</t>
        </is>
      </c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</row>
    <row r="14">
      <c r="A14" s="57" t="n"/>
      <c r="B14" s="19" t="inlineStr">
        <is>
          <t>活期存款</t>
        </is>
      </c>
      <c r="C14" s="57" t="n"/>
      <c r="D14" s="57" t="n"/>
      <c r="E14" s="54">
        <f>SUMIF('①分母口径数据源'!$D$4:$D$27,"活期存款",'①分母口径数据源'!$F$4:$F$27)</f>
        <v/>
      </c>
      <c r="F14" s="55">
        <f>IF(E14=0,0,SUMIF('①分母口径数据源'!$D$4:$D$27,"活期存款",'①分母口径数据源'!$H$4:$H$27)/E14)</f>
        <v/>
      </c>
      <c r="G14" s="54">
        <f>SUMIF('①分母口径数据源'!$D$4:$D$27,"活期存款",'①分母口径数据源'!$H$4:$H$27)</f>
        <v/>
      </c>
      <c r="H14" s="57" t="n"/>
      <c r="I14" s="57" t="n"/>
      <c r="J14" s="57" t="n"/>
      <c r="K14" s="57" t="n"/>
      <c r="L14" s="24" t="inlineStr">
        <is>
          <t>3 桶（1M~3M），1 年内 100% 到期，成本几乎不随政策利率变动</t>
        </is>
      </c>
    </row>
    <row r="15">
      <c r="A15" s="57" t="n"/>
      <c r="B15" s="19" t="inlineStr">
        <is>
          <t>定期存款</t>
        </is>
      </c>
      <c r="C15" s="57" t="n"/>
      <c r="D15" s="57" t="n"/>
      <c r="E15" s="54">
        <f>SUMIF('①分母口径数据源'!$D$4:$D$27,"定期存款",'①分母口径数据源'!$F$4:$F$27)</f>
        <v/>
      </c>
      <c r="F15" s="55">
        <f>IF(E15=0,0,SUMIF('①分母口径数据源'!$D$4:$D$27,"定期存款",'①分母口径数据源'!$H$4:$H$27)/E15)</f>
        <v/>
      </c>
      <c r="G15" s="54">
        <f>SUMIF('①分母口径数据源'!$D$4:$D$27,"定期存款",'①分母口径数据源'!$H$4:$H$27)</f>
        <v/>
      </c>
      <c r="H15" s="57" t="n"/>
      <c r="I15" s="57" t="n"/>
      <c r="J15" s="57" t="n"/>
      <c r="K15" s="57" t="n"/>
      <c r="L15" s="24" t="inlineStr">
        <is>
          <t>12 桶（1M~12M），到期续作时重定价</t>
        </is>
      </c>
    </row>
    <row r="16">
      <c r="A16" s="57" t="n"/>
      <c r="B16" s="19" t="inlineStr">
        <is>
          <t>市场化负债</t>
        </is>
      </c>
      <c r="C16" s="57" t="n"/>
      <c r="D16" s="57" t="n"/>
      <c r="E16" s="54">
        <f>SUMIF('①分母口径数据源'!$D$4:$D$27,"市场化负债",'①分母口径数据源'!$F$4:$F$27)</f>
        <v/>
      </c>
      <c r="F16" s="55">
        <f>IF(E16=0,0,SUMIF('①分母口径数据源'!$D$4:$D$27,"市场化负债",'①分母口径数据源'!$H$4:$H$27)/E16)</f>
        <v/>
      </c>
      <c r="G16" s="54">
        <f>SUMIF('①分母口径数据源'!$D$4:$D$27,"市场化负债",'①分母口径数据源'!$H$4:$H$27)</f>
        <v/>
      </c>
      <c r="H16" s="57" t="n"/>
      <c r="I16" s="57" t="n"/>
      <c r="J16" s="57" t="n"/>
      <c r="K16" s="57" t="n"/>
      <c r="L16" s="24" t="inlineStr">
        <is>
          <t>12 桶货币市场工具，SHIBOR/DR 联动，β 接近 1</t>
        </is>
      </c>
    </row>
    <row r="17">
      <c r="A17" s="57" t="n"/>
      <c r="B17" s="19" t="inlineStr">
        <is>
          <t>外币负债</t>
        </is>
      </c>
      <c r="C17" s="57" t="n"/>
      <c r="D17" s="57" t="n"/>
      <c r="E17" s="54">
        <f>SUMIF('①分母口径数据源'!$D$4:$D$27,"外币负债",'①分母口径数据源'!$F$4:$F$27)</f>
        <v/>
      </c>
      <c r="F17" s="55">
        <f>IF(E17=0,0,SUMIF('①分母口径数据源'!$D$4:$D$27,"外币负债",'①分母口径数据源'!$H$4:$H$27)/E17)</f>
        <v/>
      </c>
      <c r="G17" s="54">
        <f>SUMIF('①分母口径数据源'!$D$4:$D$27,"外币负债",'①分母口径数据源'!$H$4:$H$27)</f>
        <v/>
      </c>
      <c r="H17" s="57" t="n"/>
      <c r="I17" s="57" t="n"/>
      <c r="J17" s="57" t="n"/>
      <c r="K17" s="57" t="n"/>
      <c r="L17" s="24" t="inlineStr">
        <is>
          <t>折人民币，受境内外利差与汇率影响</t>
        </is>
      </c>
    </row>
    <row r="18">
      <c r="A18" s="43" t="n"/>
      <c r="B18" s="44" t="inlineStr">
        <is>
          <t>存款活期化率（活期 ÷ 存款合计）</t>
        </is>
      </c>
      <c r="C18" s="43" t="n"/>
      <c r="D18" s="43" t="n"/>
      <c r="E18" s="58">
        <f>IF((E14+E15)=0,0,E14/(E14+E15))</f>
        <v/>
      </c>
      <c r="F18" s="43" t="n"/>
      <c r="G18" s="43" t="n"/>
      <c r="H18" s="43" t="n"/>
      <c r="I18" s="43" t="n"/>
      <c r="J18" s="43" t="n"/>
      <c r="K18" s="43" t="n"/>
      <c r="L18" s="44" t="inlineStr">
        <is>
          <t>活期付息成本最低，活期化率是 NIM 的关键结构变量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7" customWidth="1" min="2" max="2"/>
    <col width="14" customWidth="1" min="3" max="3"/>
    <col width="12" customWidth="1" min="4" max="4"/>
    <col width="50" customWidth="1" min="5" max="5"/>
  </cols>
  <sheetData>
    <row r="1">
      <c r="A1" s="1" t="inlineStr">
        <is>
          <t>⑤ 净息差（NIM）计量表 — 基于 prcp_basic_20251231.xlsx 真实数据</t>
        </is>
      </c>
    </row>
    <row r="2">
      <c r="A2" s="2" t="inlineStr">
        <is>
          <t>NIM = 利息净收入 ÷ 平均生息资产  |  NIS = 生息资产收益率 − 计息负债成本率  |  本表核心是「分母界定」，分子与「NII计量模版」完全一致  |  单位：亿元 / 亿元每年 / %</t>
        </is>
      </c>
    </row>
    <row r="4">
      <c r="A4" s="50" t="inlineStr">
        <is>
          <t>【一】NIM 分母口径界定（本模版核心）</t>
        </is>
      </c>
      <c r="B4" s="51" t="n"/>
      <c r="C4" s="51" t="n"/>
      <c r="D4" s="51" t="n"/>
      <c r="E4" s="51" t="n"/>
    </row>
    <row r="5">
      <c r="A5" s="44" t="inlineStr">
        <is>
          <t>★ 生息资产（NIM 分母，利率 &gt; 0）</t>
        </is>
      </c>
      <c r="B5" s="59">
        <f>'③生息资产界定'!E21</f>
        <v/>
      </c>
      <c r="C5" s="60">
        <f>IF($B$7=0,0,B5/$B$7)</f>
        <v/>
      </c>
      <c r="D5" s="61" t="inlineStr">
        <is>
          <t>亿元</t>
        </is>
      </c>
      <c r="E5" s="61" t="inlineStr">
        <is>
          <t>16 个资产账户中利率 &gt; 0 的部分</t>
        </is>
      </c>
    </row>
    <row r="6">
      <c r="A6" s="31" t="inlineStr">
        <is>
          <t>非生息资产（不计入分母）</t>
        </is>
      </c>
      <c r="B6" s="34">
        <f>'③生息资产界定'!E22</f>
        <v/>
      </c>
      <c r="C6" s="35">
        <f>IF($B$7=0,0,B6/$B$7)</f>
        <v/>
      </c>
      <c r="D6" s="49" t="inlineStr">
        <is>
          <t>亿元</t>
        </is>
      </c>
      <c r="E6" s="49" t="inlineStr">
        <is>
          <t>现金 / 其它非生息资产，利率 0%</t>
        </is>
      </c>
    </row>
    <row r="7">
      <c r="A7" s="31" t="inlineStr">
        <is>
          <t>资产端合计（= 参照物总资产）</t>
        </is>
      </c>
      <c r="B7" s="34">
        <f>'③生息资产界定'!E20</f>
        <v/>
      </c>
      <c r="C7" s="35">
        <f>IF($B$7=0,0,B7/$B$7)</f>
        <v/>
      </c>
      <c r="D7" s="49" t="inlineStr">
        <is>
          <t>亿元</t>
        </is>
      </c>
      <c r="E7" s="49" t="inlineStr">
        <is>
          <t>生息 + 非生息</t>
        </is>
      </c>
    </row>
    <row r="8">
      <c r="A8" s="31" t="inlineStr">
        <is>
          <t>所有者权益（不进入分母）</t>
        </is>
      </c>
      <c r="B8" s="52" t="n">
        <v>100000</v>
      </c>
      <c r="C8" s="47" t="n"/>
      <c r="D8" s="49" t="inlineStr">
        <is>
          <t>亿元</t>
        </is>
      </c>
      <c r="E8" s="49" t="inlineStr">
        <is>
          <t>参照物 10 万亿；NIM 分母不含权益</t>
        </is>
      </c>
    </row>
    <row r="9">
      <c r="A9" s="31" t="inlineStr">
        <is>
          <t>计息负债（进入分子，不进入分母）</t>
        </is>
      </c>
      <c r="B9" s="34">
        <f>'④计息负债明细'!E11</f>
        <v/>
      </c>
      <c r="C9" s="47" t="n"/>
      <c r="D9" s="49" t="inlineStr">
        <is>
          <t>亿元</t>
        </is>
      </c>
      <c r="E9" s="49" t="inlineStr">
        <is>
          <t>NIM = NII ÷ 生息资产，负债只影响分子</t>
        </is>
      </c>
    </row>
    <row r="11">
      <c r="A11" s="50" t="inlineStr">
        <is>
          <t>【二】分子：利息收入与利息支出</t>
        </is>
      </c>
      <c r="B11" s="51" t="n"/>
      <c r="C11" s="51" t="n"/>
      <c r="D11" s="51" t="n"/>
      <c r="E11" s="51" t="n"/>
    </row>
    <row r="12">
      <c r="A12" s="31" t="inlineStr">
        <is>
          <t>利息收入合计（生息资产）</t>
        </is>
      </c>
      <c r="B12" s="34">
        <f>'③生息资产界定'!G21</f>
        <v/>
      </c>
      <c r="C12" s="47" t="n"/>
      <c r="D12" s="49" t="inlineStr">
        <is>
          <t>亿元/年</t>
        </is>
      </c>
      <c r="E12" s="49" t="inlineStr">
        <is>
          <t>Σ 生息资产 余额 × 加权平均利率</t>
        </is>
      </c>
    </row>
    <row r="13">
      <c r="A13" s="31" t="inlineStr">
        <is>
          <t>利息支出合计（计息负债）</t>
        </is>
      </c>
      <c r="B13" s="34">
        <f>'④计息负债明细'!G11</f>
        <v/>
      </c>
      <c r="C13" s="47" t="n"/>
      <c r="D13" s="49" t="inlineStr">
        <is>
          <t>亿元/年</t>
        </is>
      </c>
      <c r="E13" s="49" t="inlineStr">
        <is>
          <t>Σ 计息负债 余额 × 加权平均利率</t>
        </is>
      </c>
    </row>
    <row r="15">
      <c r="A15" s="50" t="inlineStr">
        <is>
          <t>【三】★ 核心指标：NIM 与 NIS</t>
        </is>
      </c>
      <c r="B15" s="51" t="n"/>
      <c r="C15" s="51" t="n"/>
      <c r="D15" s="51" t="n"/>
      <c r="E15" s="51" t="n"/>
    </row>
    <row r="16">
      <c r="A16" s="31" t="inlineStr">
        <is>
          <t>利息净收入 NII（= 与 NII计量模版一致）</t>
        </is>
      </c>
      <c r="B16" s="34">
        <f>B12-B13</f>
        <v/>
      </c>
      <c r="C16" s="47" t="n"/>
      <c r="D16" s="49" t="inlineStr">
        <is>
          <t>亿元/年</t>
        </is>
      </c>
      <c r="E16" s="49" t="inlineStr">
        <is>
          <t>校验点：应与 NII计量模版!⑥NII 完全一致</t>
        </is>
      </c>
    </row>
    <row r="17">
      <c r="A17" s="44" t="inlineStr">
        <is>
          <t>★ 净息差 NIM（NII ÷ 生息资产）</t>
        </is>
      </c>
      <c r="B17" s="62">
        <f>IF($B$5=0,0,$B$16/$B$5)</f>
        <v/>
      </c>
      <c r="C17" s="43" t="n"/>
      <c r="D17" s="44" t="inlineStr">
        <is>
          <t>%</t>
        </is>
      </c>
      <c r="E17" s="44" t="inlineStr">
        <is>
          <t>★ NIM 计量最终输出指标（监管口径分母）</t>
        </is>
      </c>
    </row>
    <row r="18">
      <c r="A18" s="31" t="inlineStr">
        <is>
          <t>生息资产收益率（利息收入 ÷ 生息资产）</t>
        </is>
      </c>
      <c r="B18" s="63">
        <f>IF($B$5=0,0,$B$12/$B$5)</f>
        <v/>
      </c>
      <c r="C18" s="47" t="n"/>
      <c r="D18" s="49" t="inlineStr">
        <is>
          <t>%</t>
        </is>
      </c>
      <c r="E18" s="49" t="inlineStr">
        <is>
          <t>资产端盈利能力</t>
        </is>
      </c>
    </row>
    <row r="19">
      <c r="A19" s="31" t="inlineStr">
        <is>
          <t>计息负债成本率（利息支出 ÷ 计息负债）</t>
        </is>
      </c>
      <c r="B19" s="63">
        <f>IF($B$9=0,0,$B$13/$B$9)</f>
        <v/>
      </c>
      <c r="C19" s="47" t="n"/>
      <c r="D19" s="49" t="inlineStr">
        <is>
          <t>%</t>
        </is>
      </c>
      <c r="E19" s="49" t="inlineStr">
        <is>
          <t>负债端付息成本</t>
        </is>
      </c>
    </row>
    <row r="20">
      <c r="A20" s="44" t="inlineStr">
        <is>
          <t>★ 净利差 NIS（净收益率 − 净成本率）</t>
        </is>
      </c>
      <c r="B20" s="46">
        <f>B18-B19</f>
        <v/>
      </c>
      <c r="C20" s="43" t="n"/>
      <c r="D20" s="44" t="inlineStr">
        <is>
          <t>%</t>
        </is>
      </c>
      <c r="E20" s="44" t="inlineStr">
        <is>
          <t>★ 资产端与负债端的定价之差</t>
        </is>
      </c>
    </row>
    <row r="22">
      <c r="A22" s="50" t="inlineStr">
        <is>
          <t>【四】★ NIM ≠ NIS：分母错配的量化拆解（常见误区澄清）</t>
        </is>
      </c>
      <c r="B22" s="51" t="n"/>
      <c r="C22" s="51" t="n"/>
      <c r="D22" s="51" t="n"/>
      <c r="E22" s="51" t="n"/>
    </row>
    <row r="23">
      <c r="A23" s="31" t="inlineStr">
        <is>
          <t>生息资产 ÷ 计息负债（规模比）</t>
        </is>
      </c>
      <c r="B23" s="64">
        <f>IF($B$9=0,0,$B$5/$B$9)</f>
        <v/>
      </c>
      <c r="C23" s="47" t="n"/>
      <c r="D23" s="49" t="inlineStr">
        <is>
          <t>倍</t>
        </is>
      </c>
      <c r="E23" s="49" t="inlineStr">
        <is>
          <t>生息资产规模是计息负债的多少倍</t>
        </is>
      </c>
    </row>
    <row r="24">
      <c r="A24" s="31" t="inlineStr">
        <is>
          <t>负债支持率 k = 计息负债 ÷ 生息资产</t>
        </is>
      </c>
      <c r="B24" s="63">
        <f>IF($B$5=0,0,$B$9/$B$5)</f>
        <v/>
      </c>
      <c r="C24" s="47" t="n"/>
      <c r="D24" s="49" t="inlineStr">
        <is>
          <t>%</t>
        </is>
      </c>
      <c r="E24" s="49" t="inlineStr">
        <is>
          <t>★ 恒小于 100%，因非生息资产不由负债全额融资</t>
        </is>
      </c>
    </row>
    <row r="25">
      <c r="A25" s="48" t="inlineStr">
        <is>
          <t>★ 校验：收益率 − 成本率 × k − NIM（应为 0）</t>
        </is>
      </c>
      <c r="B25" s="64">
        <f>ROUND($B$18-$B$19*$B$24-$B$17,10)</f>
        <v/>
      </c>
      <c r="C25" s="47" t="n"/>
      <c r="D25" s="49" t="inlineStr">
        <is>
          <t>倍</t>
        </is>
      </c>
      <c r="E25" s="49" t="inlineStr">
        <is>
          <t>★ 正确关系：NIM = 生息资产收益率 − 计息负债成本率 × k（加权差，非相乘）</t>
        </is>
      </c>
    </row>
    <row r="26">
      <c r="A26" s="26" t="inlineStr">
        <is>
          <t>NIS − NIM（利差与息差的差额）</t>
        </is>
      </c>
      <c r="B26" s="65">
        <f>$B$20-$B$17</f>
        <v/>
      </c>
      <c r="C26" s="25" t="n"/>
      <c r="D26" s="29" t="inlineStr">
        <is>
          <t>个百分点</t>
        </is>
      </c>
      <c r="E26" s="26" t="inlineStr">
        <is>
          <t>⚠ NIM 通常 &gt; NIS：分子中利息支出按计息负债计，分母用生息资产，两者口径不一致</t>
        </is>
      </c>
    </row>
    <row r="27">
      <c r="A27" s="31" t="inlineStr">
        <is>
          <t>⚠ 常见误区：NIS × k（错误做法，非 NIM）</t>
        </is>
      </c>
      <c r="B27" s="63">
        <f>$B$20*$B$24</f>
        <v/>
      </c>
      <c r="C27" s="47" t="n"/>
      <c r="D27" s="49" t="inlineStr">
        <is>
          <t>%</t>
        </is>
      </c>
      <c r="E27" s="49" t="inlineStr">
        <is>
          <t>净利差×负债率 ≠ 净息差；两处分母不同，必须用「收益率 − 成本率×k」</t>
        </is>
      </c>
    </row>
    <row r="28">
      <c r="A28" s="31" t="inlineStr">
        <is>
          <t>误区造成的偏差（NIS × k − NIM）</t>
        </is>
      </c>
      <c r="B28" s="66">
        <f>$B$27-$B$17</f>
        <v/>
      </c>
      <c r="C28" s="47" t="n"/>
      <c r="D28" s="49" t="inlineStr">
        <is>
          <t>个百分点</t>
        </is>
      </c>
      <c r="E28" s="49" t="inlineStr">
        <is>
          <t>本例偏差约 −0.26pp，若误用会严重低估 NIM</t>
        </is>
      </c>
    </row>
    <row r="30">
      <c r="A30" s="50" t="inlineStr">
        <is>
          <t>【五】多口径 NIM 对比（分母界定如何影响结果）</t>
        </is>
      </c>
      <c r="B30" s="51" t="n"/>
      <c r="C30" s="51" t="n"/>
      <c r="D30" s="51" t="n"/>
      <c r="E30" s="51" t="n"/>
    </row>
    <row r="31">
      <c r="A31" s="44" t="inlineStr">
        <is>
          <t>口径 1（★监管口径）：NII ÷ 生息资产</t>
        </is>
      </c>
      <c r="B31" s="67">
        <f>$B$17</f>
        <v/>
      </c>
      <c r="C31" s="68">
        <f>B31-$B$31</f>
        <v/>
      </c>
      <c r="D31" s="61" t="inlineStr"/>
      <c r="E31" s="61" t="inlineStr">
        <is>
          <t>本行采用口径，剔除利率 0 的非生息资产</t>
        </is>
      </c>
    </row>
    <row r="32">
      <c r="A32" s="31" t="inlineStr">
        <is>
          <t>口径 2：NII ÷ 资产端合计（含非生息）</t>
        </is>
      </c>
      <c r="B32" s="63">
        <f>IF($B$7=0,0,$B$16/$B$7)</f>
        <v/>
      </c>
      <c r="C32" s="66">
        <f>B32-$B$31</f>
        <v/>
      </c>
      <c r="D32" s="49" t="inlineStr">
        <is>
          <t>%</t>
        </is>
      </c>
      <c r="E32" s="49" t="inlineStr">
        <is>
          <t>分母含非生息，NIM 被系统性低估</t>
        </is>
      </c>
    </row>
    <row r="33">
      <c r="A33" s="31" t="inlineStr">
        <is>
          <t>口径 3：NII ÷ 计息负债</t>
        </is>
      </c>
      <c r="B33" s="63">
        <f>IF($B$9=0,0,$B$16/$B$9)</f>
        <v/>
      </c>
      <c r="C33" s="66">
        <f>B33-$B$31</f>
        <v/>
      </c>
      <c r="D33" s="49" t="inlineStr">
        <is>
          <t>%</t>
        </is>
      </c>
      <c r="E33" s="49" t="inlineStr">
        <is>
          <t>分子分母口径不匹配，非监管定义，仅作对照</t>
        </is>
      </c>
    </row>
    <row r="34">
      <c r="A34" s="31" t="inlineStr">
        <is>
          <t>口径 4：NII ÷ 总资产（含权益）</t>
        </is>
      </c>
      <c r="B34" s="63">
        <f>IF(($B$7+$B$8)=0,0,$B$16/($B$7+$B$8))</f>
        <v/>
      </c>
      <c r="C34" s="66">
        <f>B34-$B$31</f>
        <v/>
      </c>
      <c r="D34" s="49" t="inlineStr">
        <is>
          <t>%</t>
        </is>
      </c>
      <c r="E34" s="49" t="inlineStr">
        <is>
          <t>分母含权益，杠杆调整后口径</t>
        </is>
      </c>
    </row>
    <row r="35">
      <c r="A35" s="31" t="inlineStr">
        <is>
          <t>口径 5：NII ÷ 风险加权资产（RWA 近似）</t>
        </is>
      </c>
      <c r="B35" s="63">
        <f>IF(SUMIF('①分母口径数据源'!$C$4:$C$27,"资产",'①分母口径数据源'!$F$4:$F$27)=0,0,$B$16/SUMIF('①分母口径数据源'!$C$4:$C$27,"资产",'①分母口径数据源'!$F$4:$F$27))</f>
        <v/>
      </c>
      <c r="C35" s="66">
        <f>B35-$B$31</f>
        <v/>
      </c>
      <c r="D35" s="49" t="inlineStr">
        <is>
          <t>%</t>
        </is>
      </c>
      <c r="E35" s="49" t="inlineStr">
        <is>
          <t>无表外资产，RWA 口径近似等于资产端合计</t>
        </is>
      </c>
    </row>
    <row r="36">
      <c r="A36" s="26" t="inlineStr">
        <is>
          <t>口径敏感度：口径 1 与口径 2 差异</t>
        </is>
      </c>
      <c r="B36" s="65">
        <f>$B$31-$B$32</f>
        <v/>
      </c>
      <c r="C36" s="25" t="n"/>
      <c r="D36" s="25" t="n"/>
      <c r="E36" s="29" t="inlineStr">
        <is>
          <t>仅因分母是否含非生息资产，NIM 可差 多个百分点</t>
        </is>
      </c>
    </row>
    <row r="38">
      <c r="A38" s="50" t="inlineStr">
        <is>
          <t>【六】杜邦三分解：NIM 的三个驱动因子</t>
        </is>
      </c>
      <c r="B38" s="51" t="n"/>
      <c r="C38" s="51" t="n"/>
      <c r="D38" s="51" t="n"/>
      <c r="E38" s="51" t="n"/>
    </row>
    <row r="39">
      <c r="A39" s="31" t="inlineStr">
        <is>
          <t>资产效率 = 生息资产 ÷ 资产端合计</t>
        </is>
      </c>
      <c r="B39" s="35">
        <f>IF($B$7=0,0,$B$5/$B$7)</f>
        <v/>
      </c>
      <c r="C39" s="47" t="n"/>
      <c r="D39" s="49" t="inlineStr"/>
      <c r="E39" s="49" t="inlineStr">
        <is>
          <t>非生息资产占比的倒数，越大越好</t>
        </is>
      </c>
    </row>
    <row r="40">
      <c r="A40" s="31" t="inlineStr">
        <is>
          <t>负债支持率 k = 计息负债 ÷ 生息资产</t>
        </is>
      </c>
      <c r="B40" s="63">
        <f>$B$24</f>
        <v/>
      </c>
      <c r="C40" s="47" t="n"/>
      <c r="D40" s="49" t="inlineStr">
        <is>
          <t>%</t>
        </is>
      </c>
      <c r="E40" s="49" t="inlineStr">
        <is>
          <t>与【四】同源，两处分母不同</t>
        </is>
      </c>
    </row>
    <row r="41">
      <c r="A41" s="31" t="inlineStr">
        <is>
          <t>资产端贡献 = 生息资产收益率</t>
        </is>
      </c>
      <c r="B41" s="63">
        <f>$B$18</f>
        <v/>
      </c>
      <c r="C41" s="47" t="n"/>
      <c r="D41" s="49" t="inlineStr">
        <is>
          <t>%</t>
        </is>
      </c>
      <c r="E41" s="49" t="inlineStr">
        <is>
          <t>每元生息资产产生的利息收入</t>
        </is>
      </c>
    </row>
    <row r="42">
      <c r="A42" s="31" t="inlineStr">
        <is>
          <t>负债端贡献 = 成本率 × k</t>
        </is>
      </c>
      <c r="B42" s="63">
        <f>$B$19*$B$40</f>
        <v/>
      </c>
      <c r="C42" s="47" t="n"/>
      <c r="D42" s="49" t="inlineStr">
        <is>
          <t>%</t>
        </is>
      </c>
      <c r="E42" s="49" t="inlineStr">
        <is>
          <t>每元生息资产承担的利息支出（已按 k 折算）</t>
        </is>
      </c>
    </row>
    <row r="43">
      <c r="A43" s="44" t="inlineStr">
        <is>
          <t>★ NIM 复核 = 资产端 − 负债端</t>
        </is>
      </c>
      <c r="B43" s="69">
        <f>$B$41-$B$42</f>
        <v/>
      </c>
      <c r="C43" s="43" t="n"/>
      <c r="D43" s="61" t="inlineStr">
        <is>
          <t>%</t>
        </is>
      </c>
      <c r="E43" s="61" t="inlineStr">
        <is>
          <t>★ 应等于 NIM</t>
        </is>
      </c>
    </row>
    <row r="44">
      <c r="A44" s="48" t="inlineStr">
        <is>
          <t>校验：复核值 − NIM（应为 0）</t>
        </is>
      </c>
      <c r="B44" s="64">
        <f>ROUND($B$43-$B$17,10)</f>
        <v/>
      </c>
      <c r="C44" s="47" t="n"/>
      <c r="D44" s="49" t="inlineStr"/>
      <c r="E44" s="49" t="inlineStr">
        <is>
          <t>分解恒等式自检</t>
        </is>
      </c>
    </row>
    <row r="45">
      <c r="A45" s="31" t="inlineStr">
        <is>
          <t>（附）总资产口径净息差 = NIM × 资产效率</t>
        </is>
      </c>
      <c r="B45" s="63">
        <f>$B$17*$B$39</f>
        <v/>
      </c>
      <c r="C45" s="47" t="n"/>
      <c r="D45" s="49" t="inlineStr">
        <is>
          <t>%</t>
        </is>
      </c>
      <c r="E45" s="49" t="inlineStr">
        <is>
          <t>分母换成资产端合计，即口径 2 的 NIM</t>
        </is>
      </c>
    </row>
    <row r="47">
      <c r="A47" s="50" t="inlineStr">
        <is>
          <t>【七】结构比率</t>
        </is>
      </c>
      <c r="B47" s="51" t="n"/>
      <c r="C47" s="51" t="n"/>
      <c r="D47" s="51" t="n"/>
      <c r="E47" s="51" t="n"/>
    </row>
    <row r="48">
      <c r="A48" s="31" t="inlineStr">
        <is>
          <t>信贷资产 ÷ 生息资产</t>
        </is>
      </c>
      <c r="B48" s="35">
        <f>SUMIF('①分母口径数据源'!$E$4:$E$27,"信贷",'①分母口径数据源'!$F$4:$F$27)/$B$5</f>
        <v/>
      </c>
      <c r="C48" s="47" t="n"/>
      <c r="D48" s="49" t="inlineStr">
        <is>
          <t>%</t>
        </is>
      </c>
      <c r="E48" s="49" t="inlineStr">
        <is>
          <t>信贷占比越高，收益率越高</t>
        </is>
      </c>
    </row>
    <row r="49">
      <c r="A49" s="31" t="inlineStr">
        <is>
          <t>存款 ÷ 计息负债</t>
        </is>
      </c>
      <c r="B49" s="35">
        <f>(SUMIF('①分母口径数据源'!$E$4:$E$27,"活期",'①分母口径数据源'!$F$4:$F$27)+SUMIF('①分母口径数据源'!$E$4:$E$27,"定期",'①分母口径数据源'!$F$4:$F$27))/$B$9</f>
        <v/>
      </c>
      <c r="C49" s="47" t="n"/>
      <c r="D49" s="49" t="inlineStr">
        <is>
          <t>%</t>
        </is>
      </c>
      <c r="E49" s="49" t="inlineStr">
        <is>
          <t>存款占比越高，成本越低</t>
        </is>
      </c>
    </row>
    <row r="50">
      <c r="A50" s="31" t="inlineStr">
        <is>
          <t>存款活期化率（活期 ÷ 存款）</t>
        </is>
      </c>
      <c r="B50" s="35">
        <f>'④计息负债明细'!E18</f>
        <v/>
      </c>
      <c r="C50" s="47" t="n"/>
      <c r="D50" s="49" t="inlineStr">
        <is>
          <t>%</t>
        </is>
      </c>
      <c r="E50" s="49" t="inlineStr">
        <is>
          <t>活期成本 0.20%，定期 1.85~1.95%</t>
        </is>
      </c>
    </row>
    <row r="51">
      <c r="A51" s="31" t="inlineStr">
        <is>
          <t>市场化负债占比</t>
        </is>
      </c>
      <c r="B51" s="35">
        <f>SUMIF('①分母口径数据源'!$E$4:$E$27,"同业",'①分母口径数据源'!$F$4:$F$27)/$B$9</f>
        <v/>
      </c>
      <c r="C51" s="47" t="n"/>
      <c r="D51" s="49" t="inlineStr">
        <is>
          <t>%</t>
        </is>
      </c>
      <c r="E51" s="49" t="inlineStr">
        <is>
          <t>市场化负债成本 2.50%，高于存款</t>
        </is>
      </c>
    </row>
    <row r="52">
      <c r="A52" s="31" t="inlineStr">
        <is>
          <t>权益乘数（资产端合计 ÷ 权益）</t>
        </is>
      </c>
      <c r="B52" s="64">
        <f>IF($B$8=0,0,$B$7/$B$8)</f>
        <v/>
      </c>
      <c r="C52" s="47" t="n"/>
      <c r="D52" s="49" t="inlineStr">
        <is>
          <t>倍</t>
        </is>
      </c>
      <c r="E52" s="49" t="inlineStr">
        <is>
          <t>杠杆倍数；权益乘数 × ROE = ROA × 杠杆</t>
        </is>
      </c>
    </row>
    <row r="53">
      <c r="A53" s="31" t="inlineStr">
        <is>
          <t>权益 / 资产端合计（杠杆调整后分母）</t>
        </is>
      </c>
      <c r="B53" s="35">
        <f>IF($B$7=0,0,$B$8/$B$7)</f>
        <v/>
      </c>
      <c r="C53" s="47" t="n"/>
      <c r="D53" s="49" t="inlineStr">
        <is>
          <t>%</t>
        </is>
      </c>
      <c r="E53" s="49" t="inlineStr">
        <is>
          <t>≈ 9.26%，故含权益口径 NIM 最低</t>
        </is>
      </c>
    </row>
    <row r="55">
      <c r="A55" s="50" t="inlineStr">
        <is>
          <t>【八】勾稽校验（校验 1~9 应全部为 0）</t>
        </is>
      </c>
      <c r="B55" s="51" t="n"/>
      <c r="C55" s="51" t="n"/>
      <c r="D55" s="51" t="n"/>
      <c r="E55" s="51" t="n"/>
    </row>
    <row r="56">
      <c r="A56" s="31" t="inlineStr">
        <is>
          <t>校验 1：③生息资产明细 = ①Σ生息资产</t>
        </is>
      </c>
      <c r="B56" s="34">
        <f>ROUND('③生息资产界定'!E21-SUMIF('①分母口径数据源'!$I$4:$I$27,"EA",'①分母口径数据源'!$F$4:$F$27),6)</f>
        <v/>
      </c>
      <c r="C56" s="47" t="n"/>
      <c r="D56" s="49" t="inlineStr">
        <is>
          <t>亿元</t>
        </is>
      </c>
      <c r="E56" s="49" t="inlineStr">
        <is>
          <t>明细 ↔ 数据源</t>
        </is>
      </c>
    </row>
    <row r="57">
      <c r="A57" s="31" t="inlineStr">
        <is>
          <t>校验 2：④计息负债明细 = ①Σ计息负债</t>
        </is>
      </c>
      <c r="B57" s="34">
        <f>ROUND('④计息负债明细'!E11-SUMIF('①分母口径数据源'!$K$4:$K$27,"是",'①分母口径数据源'!$F$4:$F$27),6)</f>
        <v/>
      </c>
      <c r="C57" s="47" t="n"/>
      <c r="D57" s="49" t="inlineStr">
        <is>
          <t>亿元</t>
        </is>
      </c>
      <c r="E57" s="49" t="inlineStr">
        <is>
          <t>明细 ↔ 数据源</t>
        </is>
      </c>
    </row>
    <row r="58">
      <c r="A58" s="31" t="inlineStr">
        <is>
          <t>校验 3：生息 + 非生息 = 资产端合计</t>
        </is>
      </c>
      <c r="B58" s="34">
        <f>ROUND($B$5+$B$6-$B$7,6)</f>
        <v/>
      </c>
      <c r="C58" s="47" t="n"/>
      <c r="D58" s="49" t="inlineStr">
        <is>
          <t>亿元</t>
        </is>
      </c>
      <c r="E58" s="49" t="inlineStr">
        <is>
          <t>分母完整性</t>
        </is>
      </c>
    </row>
    <row r="59">
      <c r="A59" s="31" t="inlineStr">
        <is>
          <t>校验 4：收益率 − 成本率 × k = NIM</t>
        </is>
      </c>
      <c r="B59" s="34">
        <f>ROUND($B$18-$B$19*$B$24-$B$17,10)</f>
        <v/>
      </c>
      <c r="C59" s="47" t="n"/>
      <c r="D59" s="49" t="inlineStr">
        <is>
          <t>亿元</t>
        </is>
      </c>
      <c r="E59" s="49" t="inlineStr">
        <is>
          <t>★ NIM = 收益率 − 成本率 × 负债率</t>
        </is>
      </c>
    </row>
    <row r="60">
      <c r="A60" s="31" t="inlineStr">
        <is>
          <t>校验 5：分解复核 = NIM</t>
        </is>
      </c>
      <c r="B60" s="34">
        <f>ROUND($B$43-$B$17,10)</f>
        <v/>
      </c>
      <c r="C60" s="47" t="n"/>
      <c r="D60" s="49" t="inlineStr">
        <is>
          <t>亿元</t>
        </is>
      </c>
      <c r="E60" s="49" t="inlineStr">
        <is>
          <t>NIM = 资产端 − 负债端贡献</t>
        </is>
      </c>
    </row>
    <row r="61">
      <c r="A61" s="31" t="inlineStr">
        <is>
          <t>校验 6：利息收入占比合计 = 100%（负债端）</t>
        </is>
      </c>
      <c r="B61" s="34">
        <f>ROUND('④计息负债明细'!H11-1,8)</f>
        <v/>
      </c>
      <c r="C61" s="47" t="n"/>
      <c r="D61" s="49" t="inlineStr">
        <is>
          <t>亿元</t>
        </is>
      </c>
      <c r="E61" s="49" t="inlineStr">
        <is>
          <t>占比无重复无遗漏</t>
        </is>
      </c>
    </row>
    <row r="62">
      <c r="A62" s="31" t="inlineStr">
        <is>
          <t>校验 7：①Σ年度利息 = 资产 + 负债</t>
        </is>
      </c>
      <c r="B62" s="34">
        <f>ROUND(SUM('①分母口径数据源'!$H$4:$H$27)-SUMIF('①分母口径数据源'!$C$4:$C$27,"资产",'①分母口径数据源'!$H$4:$H$27)-SUMIF('①分母口径数据源'!$C$4:$C$27,"负债",'①分母口径数据源'!$H$4:$H$27),6)</f>
        <v/>
      </c>
      <c r="C62" s="47" t="n"/>
      <c r="D62" s="49" t="inlineStr">
        <is>
          <t>亿元</t>
        </is>
      </c>
      <c r="E62" s="49" t="inlineStr">
        <is>
          <t>权益年度利息为 0</t>
        </is>
      </c>
    </row>
    <row r="63">
      <c r="A63" s="31" t="inlineStr">
        <is>
          <t>校验 8：NIM × 生息资产 = NII（还原分子）</t>
        </is>
      </c>
      <c r="B63" s="34">
        <f>ROUND($B$17*$B$5-$B$16,6)</f>
        <v/>
      </c>
      <c r="C63" s="47" t="n"/>
      <c r="D63" s="49" t="inlineStr">
        <is>
          <t>亿元</t>
        </is>
      </c>
      <c r="E63" s="49" t="inlineStr">
        <is>
          <t>NIM 反算 NII</t>
        </is>
      </c>
    </row>
    <row r="64">
      <c r="A64" s="31" t="inlineStr">
        <is>
          <t>校验 9：NIM 反算 NIS（NIS 应还原）</t>
        </is>
      </c>
      <c r="B64" s="34">
        <f>ROUND(($B$17+$B$19*$B$24)-$B$18,10)</f>
        <v/>
      </c>
      <c r="C64" s="47" t="n"/>
      <c r="D64" s="49" t="inlineStr">
        <is>
          <t>亿元</t>
        </is>
      </c>
      <c r="E64" s="49" t="inlineStr">
        <is>
          <t>由 NIM + 成本率×k 反推收益率</t>
        </is>
      </c>
    </row>
    <row r="66">
      <c r="A66" s="50" t="inlineStr">
        <is>
          <t>【九】监管参考与达标判定</t>
        </is>
      </c>
      <c r="B66" s="51" t="n"/>
      <c r="C66" s="51" t="n"/>
      <c r="D66" s="51" t="n"/>
      <c r="E66" s="51" t="n"/>
    </row>
    <row r="67">
      <c r="A67" s="31" t="inlineStr">
        <is>
          <t>商业银行 NIM 合理区间下限</t>
        </is>
      </c>
      <c r="B67" s="70" t="n">
        <v>0.015</v>
      </c>
      <c r="C67" s="47" t="n"/>
      <c r="D67" s="49" t="inlineStr">
        <is>
          <t>%</t>
        </is>
      </c>
      <c r="E67" s="49" t="inlineStr">
        <is>
          <t>监管非强制指引参考值</t>
        </is>
      </c>
    </row>
    <row r="68">
      <c r="A68" s="31" t="inlineStr">
        <is>
          <t>商业银行 NIM 合理区间上限</t>
        </is>
      </c>
      <c r="B68" s="70" t="n">
        <v>0.025</v>
      </c>
      <c r="C68" s="47" t="n"/>
      <c r="D68" s="49" t="inlineStr">
        <is>
          <t>%</t>
        </is>
      </c>
      <c r="E68" s="49" t="inlineStr">
        <is>
          <t>监管非强制指引参考值</t>
        </is>
      </c>
    </row>
    <row r="69">
      <c r="A69" s="31" t="inlineStr">
        <is>
          <t>本行 NIM 达标判定</t>
        </is>
      </c>
      <c r="B69" s="71">
        <f>IF($B$17&gt;=$B$67,"达标","不达标")</f>
        <v/>
      </c>
      <c r="C69" s="47" t="n"/>
      <c r="D69" s="49" t="inlineStr"/>
      <c r="E69" s="49" t="inlineStr">
        <is>
          <t>NIM ≥ 1.50%</t>
        </is>
      </c>
    </row>
    <row r="70">
      <c r="A70" s="31" t="inlineStr">
        <is>
          <t>本行 NIM 区间判定</t>
        </is>
      </c>
      <c r="B70" s="71">
        <f>IF(AND($B$17&gt;=$B$67,$B$17&lt;=$B$68),"位于合理区间","偏离合理区间")</f>
        <v/>
      </c>
      <c r="C70" s="47" t="n"/>
      <c r="D70" s="49" t="inlineStr"/>
      <c r="E70" s="49" t="inlineStr">
        <is>
          <t>1.50% ≤ NIM ≤ 2.50%</t>
        </is>
      </c>
    </row>
    <row r="71">
      <c r="A71" s="31" t="inlineStr">
        <is>
          <t>与下限差值</t>
        </is>
      </c>
      <c r="B71" s="66">
        <f>$B$17-$B$67</f>
        <v/>
      </c>
      <c r="C71" s="47" t="n"/>
      <c r="D71" s="49" t="inlineStr"/>
      <c r="E71" s="49" t="inlineStr">
        <is>
          <t>高于下限的百分点</t>
        </is>
      </c>
    </row>
    <row r="72">
      <c r="A72" s="31" t="inlineStr">
        <is>
          <t>与上限差值</t>
        </is>
      </c>
      <c r="B72" s="66">
        <f>$B$17-$B$68</f>
        <v/>
      </c>
      <c r="C72" s="47" t="n"/>
      <c r="D72" s="49" t="inlineStr"/>
      <c r="E72" s="49" t="inlineStr">
        <is>
          <t>高于/低于上限的百分点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13" customWidth="1" min="4" max="4"/>
    <col width="15" customWidth="1" min="5" max="5"/>
    <col width="13" customWidth="1" min="6" max="6"/>
    <col width="15" customWidth="1" min="7" max="7"/>
    <col width="44" customWidth="1" min="8" max="8"/>
  </cols>
  <sheetData>
    <row r="1">
      <c r="A1" s="1" t="inlineStr">
        <is>
          <t>⑥ NIM 驱动因素分解 — 量、价、结构三维</t>
        </is>
      </c>
    </row>
    <row r="2">
      <c r="A2" s="2" t="inlineStr">
        <is>
          <t>ΔNIM ≈ Σ(条线余额占比 × 条线利差)  |  量（规模摊薄）/ 价（利率变动）/ 结构（活期化、信贷占比）三条路径  |  全部引用 ① 与 NIM计量表</t>
        </is>
      </c>
    </row>
    <row r="4">
      <c r="A4" s="50" t="inlineStr">
        <is>
          <t>【一】按业务条线的 NIM 贡献分解（资产端）</t>
        </is>
      </c>
      <c r="B4" s="51" t="n"/>
      <c r="C4" s="51" t="n"/>
      <c r="D4" s="51" t="n"/>
      <c r="E4" s="51" t="n"/>
      <c r="F4" s="51" t="n"/>
      <c r="G4" s="51" t="n"/>
      <c r="H4" s="51" t="n"/>
    </row>
    <row r="5" ht="34" customHeight="1">
      <c r="A5" s="3" t="inlineStr">
        <is>
          <t>业务条线</t>
        </is>
      </c>
      <c r="B5" s="3" t="inlineStr">
        <is>
          <t>方向</t>
        </is>
      </c>
      <c r="C5" s="3" t="inlineStr">
        <is>
          <t>余额
(亿元)</t>
        </is>
      </c>
      <c r="D5" s="3" t="inlineStr">
        <is>
          <t>余额占比</t>
        </is>
      </c>
      <c r="E5" s="3" t="inlineStr">
        <is>
          <t>综合利率</t>
        </is>
      </c>
      <c r="F5" s="3" t="inlineStr">
        <is>
          <t>利息金额
(亿元/年)</t>
        </is>
      </c>
      <c r="G5" s="3" t="inlineStr">
        <is>
          <t>利息占比</t>
        </is>
      </c>
      <c r="H5" s="3" t="inlineStr">
        <is>
          <t>说明</t>
        </is>
      </c>
    </row>
    <row r="6">
      <c r="A6" s="19" t="inlineStr">
        <is>
          <t>外币负债</t>
        </is>
      </c>
      <c r="B6" s="19" t="inlineStr">
        <is>
          <t>负债</t>
        </is>
      </c>
      <c r="C6" s="20">
        <f>SUMIF('①分母口径数据源'!$D$4:$D$27,"外币负债",'①分母口径数据源'!$F$4:$F$27)</f>
        <v/>
      </c>
      <c r="D6" s="72">
        <f>IF(SUMIF($B$6:$B$14,$B6,$C$6:$C$14)=0,0,C6/SUMIF($B$6:$B$14,$B6,$C$6:$C$14))</f>
        <v/>
      </c>
      <c r="E6" s="73">
        <f>IF(C6=0,0,SUMIF('①分母口径数据源'!$D$4:$D$27,"外币负债",'①分母口径数据源'!$H$4:$H$27)/C6)</f>
        <v/>
      </c>
      <c r="F6" s="20">
        <f>SUMIF('①分母口径数据源'!$D$4:$D$27,"外币负债",'①分母口径数据源'!$H$4:$H$27)</f>
        <v/>
      </c>
      <c r="G6" s="72">
        <f>IF(SUMIF($B$6:$B$14,$B6,$F$6:$F$14)=0,0,F6/SUMIF($B$6:$B$14,$B6,$F$6:$F$14))</f>
        <v/>
      </c>
      <c r="H6" s="24" t="inlineStr">
        <is>
          <t>余额 6 万亿，成本 2.60%</t>
        </is>
      </c>
    </row>
    <row r="16">
      <c r="A16" s="50" t="inlineStr">
        <is>
          <t>【二】NIM 三因子拆解：量 / 价 / 结构</t>
        </is>
      </c>
      <c r="B16" s="51" t="n"/>
      <c r="C16" s="51" t="n"/>
      <c r="D16" s="51" t="n"/>
      <c r="E16" s="51" t="n"/>
      <c r="F16" s="51" t="n"/>
      <c r="G16" s="51" t="n"/>
      <c r="H16" s="51" t="n"/>
    </row>
    <row r="17" ht="34" customHeight="1">
      <c r="A17" s="3" t="inlineStr">
        <is>
          <t>驱动因子</t>
        </is>
      </c>
      <c r="B17" s="3" t="inlineStr">
        <is>
          <t>维度</t>
        </is>
      </c>
      <c r="C17" s="3" t="inlineStr">
        <is>
          <t>当前值</t>
        </is>
      </c>
      <c r="D17" s="3" t="inlineStr">
        <is>
          <t>基准</t>
        </is>
      </c>
      <c r="E17" s="3" t="inlineStr">
        <is>
          <t>变动量</t>
        </is>
      </c>
      <c r="F17" s="3" t="inlineStr">
        <is>
          <t>对 NIM 影响
(百分点)</t>
        </is>
      </c>
      <c r="G17" s="3" t="inlineStr">
        <is>
          <t>敏感度</t>
        </is>
      </c>
      <c r="H17" s="3" t="inlineStr">
        <is>
          <t>说明</t>
        </is>
      </c>
    </row>
    <row r="18">
      <c r="A18" s="31" t="inlineStr">
        <is>
          <t>生息资产规模</t>
        </is>
      </c>
      <c r="B18" s="31" t="inlineStr">
        <is>
          <t>量</t>
        </is>
      </c>
      <c r="C18" s="34">
        <f>'⑤NIM计量表'!B5</f>
        <v/>
      </c>
      <c r="D18" s="34">
        <f>'⑤NIM计量表'!B5</f>
        <v/>
      </c>
      <c r="E18" s="49" t="inlineStr">
        <is>
          <t>—</t>
        </is>
      </c>
      <c r="F18" s="49" t="inlineStr">
        <is>
          <t>—</t>
        </is>
      </c>
      <c r="G18" s="49" t="inlineStr">
        <is>
          <t>规模变动</t>
        </is>
      </c>
      <c r="H18" s="49" t="inlineStr">
        <is>
          <t>NIM 是比率，规模扩张对 NIM 中性（分子分母同增）</t>
        </is>
      </c>
    </row>
    <row r="25">
      <c r="A25" s="50" t="inlineStr">
        <is>
          <t>【三】结构优化情景（测算 NIM 提升空间）</t>
        </is>
      </c>
      <c r="B25" s="51" t="n"/>
      <c r="C25" s="51" t="n"/>
      <c r="D25" s="51" t="n"/>
      <c r="E25" s="51" t="n"/>
      <c r="F25" s="51" t="n"/>
      <c r="G25" s="51" t="n"/>
      <c r="H25" s="51" t="n"/>
    </row>
    <row r="26">
      <c r="A26" s="2" t="inlineStr">
        <is>
          <t>假设与口径：① 分子按调整后余额 × 利率重算；② 分母为调整后的生息资产；③ 不考虑规模总量变化</t>
        </is>
      </c>
    </row>
    <row r="27">
      <c r="A27" s="48" t="inlineStr">
        <is>
          <t>参数：非生息资产转生息的收益率</t>
        </is>
      </c>
      <c r="B27" s="47" t="n"/>
      <c r="C27" s="70" t="n">
        <v>0.02</v>
      </c>
      <c r="D27" s="47" t="n"/>
      <c r="E27" s="47" t="n"/>
      <c r="F27" s="47" t="n"/>
      <c r="G27" s="47" t="n"/>
      <c r="H27" s="49" t="inlineStr">
        <is>
          <t>可编辑；默认 2.00%（参考同业活期水平）</t>
        </is>
      </c>
    </row>
    <row r="29" ht="34" customHeight="1">
      <c r="A29" s="3" t="inlineStr">
        <is>
          <t>优化情景</t>
        </is>
      </c>
      <c r="B29" s="3" t="inlineStr">
        <is>
          <t>维度</t>
        </is>
      </c>
      <c r="C29" s="3" t="inlineStr">
        <is>
          <t>调整幅度</t>
        </is>
      </c>
      <c r="D29" s="3" t="inlineStr">
        <is>
          <t>新 NIM</t>
        </is>
      </c>
      <c r="E29" s="3" t="inlineStr">
        <is>
          <t>ΔNIM
(百分点)</t>
        </is>
      </c>
      <c r="F29" s="3" t="inlineStr">
        <is>
          <t>可行性</t>
        </is>
      </c>
      <c r="G29" s="3" t="inlineStr">
        <is>
          <t>生效分母
(亿元)</t>
        </is>
      </c>
      <c r="H29" s="3" t="inlineStr">
        <is>
          <t>说明</t>
        </is>
      </c>
    </row>
    <row r="30">
      <c r="A30" s="31" t="inlineStr">
        <is>
          <t>活期化率 −10pp：10% 定期余额转入活期</t>
        </is>
      </c>
      <c r="B30" s="31" t="inlineStr">
        <is>
          <t>结构</t>
        </is>
      </c>
      <c r="C30" s="49" t="inlineStr">
        <is>
          <t>−10pp</t>
        </is>
      </c>
      <c r="D30" s="63">
        <f>('⑤NIM计量表'!$B$12-'⑤NIM计量表'!$B$13+SUMIF('①分母口径数据源'!$E$4:$E$27,"定期",'①分母口径数据源'!$H$4:$H$27)*0.1-SUMIF('①分母口径数据源'!$E$4:$E$27,"活期",'①分母口径数据源'!$H$4:$H$27)*0.1)/'⑤NIM计量表'!$B$5</f>
        <v/>
      </c>
      <c r="E30" s="66">
        <f>D30-'⑤NIM计量表'!$B$17</f>
        <v/>
      </c>
      <c r="F30" s="31" t="inlineStr">
        <is>
          <t>中</t>
        </is>
      </c>
      <c r="G30" s="34">
        <f>'⑤NIM计量表'!$B$5</f>
        <v/>
      </c>
      <c r="H30" s="49" t="inlineStr">
        <is>
          <t>新利息支出 = 原支出 − 定期利息×10% + 活期利息×10%</t>
        </is>
      </c>
    </row>
    <row r="31">
      <c r="A31" s="31" t="inlineStr">
        <is>
          <t>活期化率 +10pp：10% 活期余额转入定期</t>
        </is>
      </c>
      <c r="B31" s="31" t="inlineStr">
        <is>
          <t>结构</t>
        </is>
      </c>
      <c r="C31" s="49" t="inlineStr">
        <is>
          <t>+10pp</t>
        </is>
      </c>
      <c r="D31" s="63">
        <f>('⑤NIM计量表'!$B$12-'⑤NIM计量表'!$B$13-SUMIF('①分母口径数据源'!$E$4:$E$27,"定期",'①分母口径数据源'!$H$4:$H$27)*0.1+SUMIF('①分母口径数据源'!$E$4:$E$27,"活期",'①分母口径数据源'!$H$4:$H$27)*0.1)/'⑤NIM计量表'!$B$5</f>
        <v/>
      </c>
      <c r="E31" s="66">
        <f>D31-'⑤NIM计量表'!$B$17</f>
        <v/>
      </c>
      <c r="F31" s="31" t="inlineStr">
        <is>
          <t>低</t>
        </is>
      </c>
      <c r="G31" s="34">
        <f>'⑤NIM计量表'!$B$5</f>
        <v/>
      </c>
      <c r="H31" s="49" t="inlineStr">
        <is>
          <t>新利息支出 = 原支出 + 定期利息×10% − 活期利息×10%</t>
        </is>
      </c>
    </row>
    <row r="32">
      <c r="A32" s="31" t="inlineStr">
        <is>
          <t>信贷占比 +5pp：债券置换为信贷</t>
        </is>
      </c>
      <c r="B32" s="31" t="inlineStr">
        <is>
          <t>结构</t>
        </is>
      </c>
      <c r="C32" s="49" t="inlineStr">
        <is>
          <t>+5pp</t>
        </is>
      </c>
      <c r="D32" s="63">
        <f>('⑤NIM计量表'!$B$12+'⑤NIM计量表'!$B$5*0.05*((SUMIF('①分母口径数据源'!$E$4:$E$27,"信贷",'①分母口径数据源'!$H$4:$H$27)/SUMIF('①分母口径数据源'!$E$4:$E$27,"信贷",'①分母口径数据源'!$F$4:$F$27))-(SUMIF('①分母口径数据源'!$E$4:$E$27,"投资",'①分母口径数据源'!$H$4:$H$27)/SUMIF('①分母口径数据源'!$E$4:$E$27,"投资",'①分母口径数据源'!$F$4:$F$27)))-'⑤NIM计量表'!$B$13)/'⑤NIM计量表'!$B$5</f>
        <v/>
      </c>
      <c r="E32" s="66">
        <f>D32-'⑤NIM计量表'!$B$17</f>
        <v/>
      </c>
      <c r="F32" s="31" t="inlineStr">
        <is>
          <t>中低</t>
        </is>
      </c>
      <c r="G32" s="34">
        <f>'⑤NIM计量表'!$B$5</f>
        <v/>
      </c>
      <c r="H32" s="49" t="inlineStr">
        <is>
          <t>新利息收入 = 原收入 + 生息资产×5pp×(信贷利率 − 债券利率)</t>
        </is>
      </c>
    </row>
    <row r="33">
      <c r="A33" s="31" t="inlineStr">
        <is>
          <t>计息负债成本 −10bp</t>
        </is>
      </c>
      <c r="B33" s="31" t="inlineStr">
        <is>
          <t>价</t>
        </is>
      </c>
      <c r="C33" s="49" t="inlineStr">
        <is>
          <t>−10bp</t>
        </is>
      </c>
      <c r="D33" s="63">
        <f>('⑤NIM计量表'!$B$12-('⑤NIM计量表'!$B$13-'⑤NIM计量表'!$B$9*0.001))/'⑤NIM计量表'!$B$5</f>
        <v/>
      </c>
      <c r="E33" s="66">
        <f>D33-'⑤NIM计量表'!$B$17</f>
        <v/>
      </c>
      <c r="F33" s="31" t="inlineStr">
        <is>
          <t>高</t>
        </is>
      </c>
      <c r="G33" s="34">
        <f>'⑤NIM计量表'!$B$5</f>
        <v/>
      </c>
      <c r="H33" s="49" t="inlineStr">
        <is>
          <t>★ 新利息支出 = 原支出 − 计息负债×10bp；最直接可控的 NIM 提升手段</t>
        </is>
      </c>
    </row>
    <row r="34">
      <c r="A34" s="31" t="inlineStr">
        <is>
          <t>市场化负债成本 −10bp</t>
        </is>
      </c>
      <c r="B34" s="31" t="inlineStr">
        <is>
          <t>价</t>
        </is>
      </c>
      <c r="C34" s="49" t="inlineStr">
        <is>
          <t>−10bp</t>
        </is>
      </c>
      <c r="D34" s="63">
        <f>('⑤NIM计量表'!$B$12-('⑤NIM计量表'!$B$13-SUMIF('①分母口径数据源'!$E$4:$E$27,"同业",'①分母口径数据源'!$H$4:$H$27)+SUMIF('①分母口径数据源'!$E$4:$E$27,"同业",'①分母口径数据源'!$F$4:$F$27)*0.001))/'⑤NIM计量表'!$B$5</f>
        <v/>
      </c>
      <c r="E34" s="66">
        <f>D34-'⑤NIM计量表'!$B$17</f>
        <v/>
      </c>
      <c r="F34" s="31" t="inlineStr">
        <is>
          <t>高</t>
        </is>
      </c>
      <c r="G34" s="34">
        <f>'⑤NIM计量表'!$B$5</f>
        <v/>
      </c>
      <c r="H34" s="49" t="inlineStr">
        <is>
          <t>仅下调同业/市场化负债成本 10bp，其余负债成本不变</t>
        </is>
      </c>
    </row>
    <row r="35">
      <c r="A35" s="31" t="inlineStr">
        <is>
          <t>生息资产收益率 +10bp</t>
        </is>
      </c>
      <c r="B35" s="31" t="inlineStr">
        <is>
          <t>价</t>
        </is>
      </c>
      <c r="C35" s="49" t="inlineStr">
        <is>
          <t>+10bp</t>
        </is>
      </c>
      <c r="D35" s="63">
        <f>('⑤NIM计量表'!$B$12+'⑤NIM计量表'!$B$5*0.001-'⑤NIM计量表'!$B$13)/'⑤NIM计量表'!$B$5</f>
        <v/>
      </c>
      <c r="E35" s="66">
        <f>D35-'⑤NIM计量表'!$B$17</f>
        <v/>
      </c>
      <c r="F35" s="31" t="inlineStr">
        <is>
          <t>中低</t>
        </is>
      </c>
      <c r="G35" s="34">
        <f>'⑤NIM计量表'!$B$5</f>
        <v/>
      </c>
      <c r="H35" s="49" t="inlineStr">
        <is>
          <t>新利息收入 = 原收入 + 生息资产×10bp；受客户议价与投放能力约束</t>
        </is>
      </c>
    </row>
    <row r="36">
      <c r="A36" s="31" t="inlineStr">
        <is>
          <t>非生息资产 −50%：按 2% 转为生息</t>
        </is>
      </c>
      <c r="B36" s="31" t="inlineStr">
        <is>
          <t>结构</t>
        </is>
      </c>
      <c r="C36" s="49" t="inlineStr">
        <is>
          <t>−50%</t>
        </is>
      </c>
      <c r="D36" s="63">
        <f>('⑤NIM计量表'!$B$12+('⑤NIM计量表'!$B$7-'⑤NIM计量表'!$B$5)*$C$27*0.5-'⑤NIM计量表'!$B$13)/('⑤NIM计量表'!$B$5+('⑤NIM计量表'!$B$7-'⑤NIM计量表'!$B$5)*0.5)</f>
        <v/>
      </c>
      <c r="E36" s="66">
        <f>D36-'⑤NIM计量表'!$B$17</f>
        <v/>
      </c>
      <c r="F36" s="31" t="inlineStr">
        <is>
          <t>中</t>
        </is>
      </c>
      <c r="G36" s="34">
        <f>'⑤NIM计量表'!$B$5+('⑤NIM计量表'!$B$7-'⑤NIM计量表'!$B$5)*0.5</f>
        <v/>
      </c>
      <c r="H36" s="49" t="inlineStr">
        <is>
          <t>非生息资产的一半转为生息，收益率取左侧可编辑参数；分母同步扩大</t>
        </is>
      </c>
    </row>
    <row r="38">
      <c r="A38" s="50" t="inlineStr">
        <is>
          <t>【四】NIM 提升路径汇总</t>
        </is>
      </c>
      <c r="B38" s="51" t="n"/>
      <c r="C38" s="51" t="n"/>
      <c r="D38" s="51" t="n"/>
      <c r="E38" s="51" t="n"/>
      <c r="F38" s="51" t="n"/>
      <c r="G38" s="51" t="n"/>
      <c r="H38" s="51" t="n"/>
    </row>
    <row r="39">
      <c r="A39" s="44" t="inlineStr">
        <is>
          <t>★ 最大 ΔNIM 情景</t>
        </is>
      </c>
      <c r="B39" s="74">
        <f>INDEX($A$30:$A$36,MATCH(MAX($E$30:$E$36),$E$30:$E$36,0))</f>
        <v/>
      </c>
      <c r="C39" s="43" t="n"/>
      <c r="D39" s="43" t="n"/>
      <c r="E39" s="75">
        <f>MAX($E$30:$E$36)</f>
        <v/>
      </c>
      <c r="F39" s="74">
        <f>INDEX($F$30:$F$36,MATCH(MAX($E$30:$E$36),$E$30:$E$36,0))</f>
        <v/>
      </c>
      <c r="G39" s="43" t="n"/>
      <c r="H39" s="61" t="inlineStr">
        <is>
          <t>6 类优化情景中 ΔNIM 最大者（自动排序）</t>
        </is>
      </c>
    </row>
    <row r="40">
      <c r="A40" s="31" t="inlineStr">
        <is>
          <t>最优情景下的新 NIM</t>
        </is>
      </c>
      <c r="B40" s="47" t="n"/>
      <c r="C40" s="47" t="n"/>
      <c r="D40" s="63">
        <f>MAX($D$30:$D$36)</f>
        <v/>
      </c>
      <c r="E40" s="47" t="n"/>
      <c r="F40" s="47" t="n"/>
      <c r="G40" s="47" t="n"/>
      <c r="H40" s="49" t="inlineStr">
        <is>
          <t>可达到的最高 NIM 水平</t>
        </is>
      </c>
    </row>
    <row r="41">
      <c r="A41" s="31" t="inlineStr">
        <is>
          <t>基准 NIM（对照）</t>
        </is>
      </c>
      <c r="B41" s="47" t="n"/>
      <c r="C41" s="47" t="n"/>
      <c r="D41" s="63">
        <f>'⑤NIM计量表'!$B$17</f>
        <v/>
      </c>
      <c r="E41" s="47" t="n"/>
      <c r="F41" s="47" t="n"/>
      <c r="G41" s="47" t="n"/>
      <c r="H41" s="49" t="inlineStr">
        <is>
          <t>与上一行之差即优化空间</t>
        </is>
      </c>
    </row>
  </sheetData>
  <mergeCells count="3">
    <mergeCell ref="A26:H26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6" customWidth="1" min="4" max="4"/>
    <col width="15" customWidth="1" min="5" max="5"/>
    <col width="16" customWidth="1" min="6" max="6"/>
    <col width="13" customWidth="1" min="7" max="7"/>
    <col width="13" customWidth="1" min="8" max="8"/>
    <col width="42" customWidth="1" min="9" max="9"/>
  </cols>
  <sheetData>
    <row r="1">
      <c r="A1" s="1" t="inlineStr">
        <is>
          <t>⑦ NIM 情景敏感性分析</t>
        </is>
      </c>
    </row>
    <row r="2">
      <c r="A2" s="2" t="inlineStr">
        <is>
          <t>ΔNIM = Δ分子 ÷ 分母 − 原 NIM  |  分子变动引用「①分母口径数据源」的 β 加权敞口  |  分母保持不变（规模中性）</t>
        </is>
      </c>
    </row>
    <row r="4">
      <c r="A4" s="50" t="inlineStr">
        <is>
          <t>【一】利率平行移动情景</t>
        </is>
      </c>
      <c r="B4" s="51" t="n"/>
      <c r="C4" s="51" t="n"/>
      <c r="D4" s="51" t="n"/>
      <c r="E4" s="51" t="n"/>
      <c r="F4" s="51" t="n"/>
      <c r="G4" s="51" t="n"/>
      <c r="H4" s="51" t="n"/>
      <c r="I4" s="51" t="n"/>
    </row>
    <row r="5" ht="34" customHeight="1">
      <c r="A5" s="3" t="inlineStr">
        <is>
          <t>情景</t>
        </is>
      </c>
      <c r="B5" s="3" t="inlineStr">
        <is>
          <t>Δr (bp)</t>
        </is>
      </c>
      <c r="C5" s="3" t="inlineStr">
        <is>
          <t>Δ利息收入
(亿元/年)</t>
        </is>
      </c>
      <c r="D5" s="3" t="inlineStr">
        <is>
          <t>Δ利息支出
(亿元/年)</t>
        </is>
      </c>
      <c r="E5" s="3" t="inlineStr">
        <is>
          <t>ΔNII
(亿元/年)</t>
        </is>
      </c>
      <c r="F5" s="3" t="inlineStr">
        <is>
          <t>情景后 NII
(亿元/年)</t>
        </is>
      </c>
      <c r="G5" s="3" t="inlineStr">
        <is>
          <t>情景后 NIM</t>
        </is>
      </c>
      <c r="H5" s="3" t="inlineStr">
        <is>
          <t>ΔNIM</t>
        </is>
      </c>
      <c r="I5" s="3" t="inlineStr">
        <is>
          <t>情景解读</t>
        </is>
      </c>
    </row>
    <row r="6">
      <c r="A6" s="31" t="inlineStr">
        <is>
          <t>利率平行上移 250bp</t>
        </is>
      </c>
      <c r="B6" s="76" t="n">
        <v>250</v>
      </c>
      <c r="C6" s="34">
        <f>-$B$6/10000*SUMPRODUCT(('①分母口径数据源'!$I$4:$I$27="EA")*'①分母口径数据源'!$F$4:$F$27*'①分母口径数据源'!$M$4:$M$27)</f>
        <v/>
      </c>
      <c r="D6" s="77">
        <f>-$B$6/10000*SUMPRODUCT(('①分母口径数据源'!$K$4:$K$27="是")*'①分母口径数据源'!$F$4:$F$27*'①分母口径数据源'!$M$4:$M$27)</f>
        <v/>
      </c>
      <c r="E6" s="34">
        <f>C6-D6</f>
        <v/>
      </c>
      <c r="F6" s="34">
        <f>'⑤NIM计量表'!$B$16+E6</f>
        <v/>
      </c>
      <c r="G6" s="63">
        <f>IF('⑤NIM计量表'!$B$5=0,0,F6/'⑤NIM计量表'!$B$5)</f>
        <v/>
      </c>
      <c r="H6" s="66">
        <f>G6-'⑤NIM计量表'!$B$17</f>
        <v/>
      </c>
      <c r="I6" s="49" t="inlineStr">
        <is>
          <t>大幅加息：负债端 β≈0.98 成本上升快于资产端 β≈0.53</t>
        </is>
      </c>
    </row>
    <row r="7">
      <c r="A7" s="31" t="inlineStr">
        <is>
          <t>利率平行上移 100bp</t>
        </is>
      </c>
      <c r="B7" s="76" t="n">
        <v>100</v>
      </c>
      <c r="C7" s="34">
        <f>-$B$7/10000*SUMPRODUCT(('①分母口径数据源'!$I$4:$I$27="EA")*'①分母口径数据源'!$F$4:$F$27*'①分母口径数据源'!$M$4:$M$27)</f>
        <v/>
      </c>
      <c r="D7" s="77">
        <f>-$B$7/10000*SUMPRODUCT(('①分母口径数据源'!$K$4:$K$27="是")*'①分母口径数据源'!$F$4:$F$27*'①分母口径数据源'!$M$4:$M$27)</f>
        <v/>
      </c>
      <c r="E7" s="34">
        <f>C7-D7</f>
        <v/>
      </c>
      <c r="F7" s="34">
        <f>'⑤NIM计量表'!$B$16+E7</f>
        <v/>
      </c>
      <c r="G7" s="63">
        <f>IF('⑤NIM计量表'!$B$5=0,0,F7/'⑤NIM计量表'!$B$5)</f>
        <v/>
      </c>
      <c r="H7" s="66">
        <f>G7-'⑤NIM计量表'!$B$17</f>
        <v/>
      </c>
      <c r="I7" s="49" t="inlineStr">
        <is>
          <t>常规加息：负规模调整，NIM 承压</t>
        </is>
      </c>
    </row>
    <row r="8">
      <c r="A8" s="31" t="inlineStr">
        <is>
          <t>利率平行上移 50bp</t>
        </is>
      </c>
      <c r="B8" s="76" t="n">
        <v>50</v>
      </c>
      <c r="C8" s="34">
        <f>-$B$8/10000*SUMPRODUCT(('①分母口径数据源'!$I$4:$I$27="EA")*'①分母口径数据源'!$F$4:$F$27*'①分母口径数据源'!$M$4:$M$27)</f>
        <v/>
      </c>
      <c r="D8" s="77">
        <f>-$B$8/10000*SUMPRODUCT(('①分母口径数据源'!$K$4:$K$27="是")*'①分母口径数据源'!$F$4:$F$27*'①分母口径数据源'!$M$4:$M$27)</f>
        <v/>
      </c>
      <c r="E8" s="34">
        <f>C8-D8</f>
        <v/>
      </c>
      <c r="F8" s="34">
        <f>'⑤NIM计量表'!$B$16+E8</f>
        <v/>
      </c>
      <c r="G8" s="63">
        <f>IF('⑤NIM计量表'!$B$5=0,0,F8/'⑤NIM计量表'!$B$5)</f>
        <v/>
      </c>
      <c r="H8" s="66">
        <f>G8-'⑤NIM计量表'!$B$17</f>
        <v/>
      </c>
      <c r="I8" s="49" t="inlineStr">
        <is>
          <t>温和加息</t>
        </is>
      </c>
    </row>
    <row r="9">
      <c r="A9" s="31" t="inlineStr">
        <is>
          <t>基准情景（利率不变）</t>
        </is>
      </c>
      <c r="B9" s="76" t="n">
        <v>0</v>
      </c>
      <c r="C9" s="34">
        <f>-$B$9/10000*SUMPRODUCT(('①分母口径数据源'!$I$4:$I$27="EA")*'①分母口径数据源'!$F$4:$F$27*'①分母口径数据源'!$M$4:$M$27)</f>
        <v/>
      </c>
      <c r="D9" s="77">
        <f>-$B$9/10000*SUMPRODUCT(('①分母口径数据源'!$K$4:$K$27="是")*'①分母口径数据源'!$F$4:$F$27*'①分母口径数据源'!$M$4:$M$27)</f>
        <v/>
      </c>
      <c r="E9" s="34">
        <f>C9-D9</f>
        <v/>
      </c>
      <c r="F9" s="34">
        <f>'⑤NIM计量表'!$B$16+E9</f>
        <v/>
      </c>
      <c r="G9" s="63">
        <f>IF('⑤NIM计量表'!$B$5=0,0,F9/'⑤NIM计量表'!$B$5)</f>
        <v/>
      </c>
      <c r="H9" s="66">
        <f>G9-'⑤NIM计量表'!$B$17</f>
        <v/>
      </c>
      <c r="I9" s="49" t="inlineStr">
        <is>
          <t>基准：ΔNIM = 0</t>
        </is>
      </c>
    </row>
    <row r="10">
      <c r="A10" s="31" t="inlineStr">
        <is>
          <t>利率平行下移 50bp</t>
        </is>
      </c>
      <c r="B10" s="76" t="n">
        <v>-50</v>
      </c>
      <c r="C10" s="34">
        <f>-$B$10/10000*SUMPRODUCT(('①分母口径数据源'!$I$4:$I$27="EA")*'①分母口径数据源'!$F$4:$F$27*'①分母口径数据源'!$M$4:$M$27)</f>
        <v/>
      </c>
      <c r="D10" s="77">
        <f>-$B$10/10000*SUMPRODUCT(('①分母口径数据源'!$K$4:$K$27="是")*'①分母口径数据源'!$F$4:$F$27*'①分母口径数据源'!$M$4:$M$27)</f>
        <v/>
      </c>
      <c r="E10" s="34">
        <f>C10-D10</f>
        <v/>
      </c>
      <c r="F10" s="34">
        <f>'⑤NIM计量表'!$B$16+E10</f>
        <v/>
      </c>
      <c r="G10" s="63">
        <f>IF('⑤NIM计量表'!$B$5=0,0,F10/'⑤NIM计量表'!$B$5)</f>
        <v/>
      </c>
      <c r="H10" s="66">
        <f>G10-'⑤NIM计量表'!$B$17</f>
        <v/>
      </c>
      <c r="I10" s="49" t="inlineStr">
        <is>
          <t>温和降息：成本端受益更快</t>
        </is>
      </c>
    </row>
    <row r="11">
      <c r="A11" s="31" t="inlineStr">
        <is>
          <t>利率平行下移 100bp</t>
        </is>
      </c>
      <c r="B11" s="76" t="n">
        <v>-100</v>
      </c>
      <c r="C11" s="34">
        <f>-$B$11/10000*SUMPRODUCT(('①分母口径数据源'!$I$4:$I$27="EA")*'①分母口径数据源'!$F$4:$F$27*'①分母口径数据源'!$M$4:$M$27)</f>
        <v/>
      </c>
      <c r="D11" s="77">
        <f>-$B$11/10000*SUMPRODUCT(('①分母口径数据源'!$K$4:$K$27="是")*'①分母口径数据源'!$F$4:$F$27*'①分母口径数据源'!$M$4:$M$27)</f>
        <v/>
      </c>
      <c r="E11" s="34">
        <f>C11-D11</f>
        <v/>
      </c>
      <c r="F11" s="34">
        <f>'⑤NIM计量表'!$B$16+E11</f>
        <v/>
      </c>
      <c r="G11" s="63">
        <f>IF('⑤NIM计量表'!$B$5=0,0,F11/'⑤NIM计量表'!$B$5)</f>
        <v/>
      </c>
      <c r="H11" s="66">
        <f>G11-'⑤NIM计量表'!$B$17</f>
        <v/>
      </c>
      <c r="I11" s="49" t="inlineStr">
        <is>
          <t>降息周期：NIM 走阔</t>
        </is>
      </c>
    </row>
    <row r="12">
      <c r="A12" s="31" t="inlineStr">
        <is>
          <t>利率平行下移 250bp</t>
        </is>
      </c>
      <c r="B12" s="76" t="n">
        <v>-250</v>
      </c>
      <c r="C12" s="34">
        <f>-$B$12/10000*SUMPRODUCT(('①分母口径数据源'!$I$4:$I$27="EA")*'①分母口径数据源'!$F$4:$F$27*'①分母口径数据源'!$M$4:$M$27)</f>
        <v/>
      </c>
      <c r="D12" s="77">
        <f>-$B$12/10000*SUMPRODUCT(('①分母口径数据源'!$K$4:$K$27="是")*'①分母口径数据源'!$F$4:$F$27*'①分母口径数据源'!$M$4:$M$27)</f>
        <v/>
      </c>
      <c r="E12" s="34">
        <f>C12-D12</f>
        <v/>
      </c>
      <c r="F12" s="34">
        <f>'⑤NIM计量表'!$B$16+E12</f>
        <v/>
      </c>
      <c r="G12" s="63">
        <f>IF('⑤NIM计量表'!$B$5=0,0,F12/'⑤NIM计量表'!$B$5)</f>
        <v/>
      </c>
      <c r="H12" s="66">
        <f>G12-'⑤NIM计量表'!$B$17</f>
        <v/>
      </c>
      <c r="I12" s="49" t="inlineStr">
        <is>
          <t>大幅降息：NIM 显著走阔</t>
        </is>
      </c>
    </row>
    <row r="13">
      <c r="A13" s="26" t="inlineStr">
        <is>
          <t>最不利情景 ΔNIM（最小值）</t>
        </is>
      </c>
      <c r="B13" s="25" t="n"/>
      <c r="C13" s="25" t="n"/>
      <c r="D13" s="25" t="n"/>
      <c r="E13" s="25" t="n"/>
      <c r="F13" s="25" t="n"/>
      <c r="G13" s="25" t="n"/>
      <c r="H13" s="78">
        <f>MIN(H6:H12)</f>
        <v/>
      </c>
      <c r="I13" s="29" t="inlineStr">
        <is>
          <t>NIM 变动最不利者</t>
        </is>
      </c>
    </row>
    <row r="14">
      <c r="A14" s="26" t="inlineStr">
        <is>
          <t>最有利情景 ΔNIM（最大值）</t>
        </is>
      </c>
      <c r="B14" s="25" t="n"/>
      <c r="C14" s="25" t="n"/>
      <c r="D14" s="25" t="n"/>
      <c r="E14" s="25" t="n"/>
      <c r="F14" s="25" t="n"/>
      <c r="G14" s="25" t="n"/>
      <c r="H14" s="78">
        <f>MAX(H6:H12)</f>
        <v/>
      </c>
      <c r="I14" s="29" t="inlineStr">
        <is>
          <t>NIM 变动最有利者</t>
        </is>
      </c>
    </row>
    <row r="16">
      <c r="A16" s="50" t="inlineStr">
        <is>
          <t>【二】分母口径切换情景（NIM 对分母界定有多敏感）</t>
        </is>
      </c>
      <c r="B16" s="51" t="n"/>
      <c r="C16" s="51" t="n"/>
      <c r="D16" s="51" t="n"/>
      <c r="E16" s="51" t="n"/>
      <c r="F16" s="51" t="n"/>
      <c r="G16" s="51" t="n"/>
      <c r="H16" s="51" t="n"/>
      <c r="I16" s="51" t="n"/>
    </row>
    <row r="17" ht="34" customHeight="1">
      <c r="A17" s="3" t="inlineStr">
        <is>
          <t>分母口径</t>
        </is>
      </c>
      <c r="B17" s="3" t="inlineStr">
        <is>
          <t>分母余额
(亿元)</t>
        </is>
      </c>
      <c r="C17" s="3" t="inlineStr">
        <is>
          <t>分子 NII
(亿元/年)</t>
        </is>
      </c>
      <c r="D17" s="3" t="inlineStr">
        <is>
          <t>NIM</t>
        </is>
      </c>
      <c r="E17" s="3" t="inlineStr">
        <is>
          <t>与监管口径差
(百分点)</t>
        </is>
      </c>
      <c r="F17" s="3" t="inlineStr">
        <is>
          <t>排序</t>
        </is>
      </c>
      <c r="G17" s="3" t="inlineStr">
        <is>
          <t>占资产端比</t>
        </is>
      </c>
      <c r="H17" s="3" t="inlineStr">
        <is>
          <t>—</t>
        </is>
      </c>
      <c r="I17" s="3" t="inlineStr">
        <is>
          <t>说明</t>
        </is>
      </c>
    </row>
    <row r="18">
      <c r="A18" s="44" t="inlineStr">
        <is>
          <t>口径1 生息资产（★监管）</t>
        </is>
      </c>
      <c r="B18" s="79">
        <f>'⑤NIM计量表'!B5</f>
        <v/>
      </c>
      <c r="C18" s="79">
        <f>'⑤NIM计量表'!B16</f>
        <v/>
      </c>
      <c r="D18" s="69">
        <f>IF(B18=0,0,C18/B18)</f>
        <v/>
      </c>
      <c r="E18" s="68">
        <f>D18-'⑤NIM计量表'!$B$17</f>
        <v/>
      </c>
      <c r="F18" s="80">
        <f>RANK(D18,$D$18:$D$21)</f>
        <v/>
      </c>
      <c r="G18" s="60">
        <f>IF('⑤NIM计量表'!B7=0,0,B18/'⑤NIM计量表'!B7)</f>
        <v/>
      </c>
      <c r="H18" s="43" t="n"/>
      <c r="I18" s="61" t="inlineStr">
        <is>
          <t>监管采用；剔除利率 0 的非生息资产</t>
        </is>
      </c>
    </row>
    <row r="19">
      <c r="A19" s="31" t="inlineStr">
        <is>
          <t>口径2 资产端合计</t>
        </is>
      </c>
      <c r="B19" s="34">
        <f>'⑤NIM计量表'!B7</f>
        <v/>
      </c>
      <c r="C19" s="34">
        <f>'⑤NIM计量表'!B16</f>
        <v/>
      </c>
      <c r="D19" s="63">
        <f>IF(B19=0,0,C19/B19)</f>
        <v/>
      </c>
      <c r="E19" s="66">
        <f>D19-'⑤NIM计量表'!$B$17</f>
        <v/>
      </c>
      <c r="F19" s="81">
        <f>RANK(D19,$D$18:$D$21)</f>
        <v/>
      </c>
      <c r="G19" s="35">
        <f>IF('⑤NIM计量表'!B7=0,0,B19/'⑤NIM计量表'!B7)</f>
        <v/>
      </c>
      <c r="H19" s="47" t="n"/>
      <c r="I19" s="49" t="inlineStr">
        <is>
          <t>含非生息，分母变大 NIM 变小</t>
        </is>
      </c>
    </row>
    <row r="20">
      <c r="A20" s="31" t="inlineStr">
        <is>
          <t>口径3 总资产（+权益）</t>
        </is>
      </c>
      <c r="B20" s="34">
        <f>'⑤NIM计量表'!B7+'⑤NIM计量表'!B8</f>
        <v/>
      </c>
      <c r="C20" s="34">
        <f>'⑤NIM计量表'!B16</f>
        <v/>
      </c>
      <c r="D20" s="63">
        <f>IF(B20=0,0,C20/B20)</f>
        <v/>
      </c>
      <c r="E20" s="66">
        <f>D20-'⑤NIM计量表'!$B$17</f>
        <v/>
      </c>
      <c r="F20" s="81">
        <f>RANK(D20,$D$18:$D$21)</f>
        <v/>
      </c>
      <c r="G20" s="35">
        <f>IF('⑤NIM计量表'!B7=0,0,B20/'⑤NIM计量表'!B7)</f>
        <v/>
      </c>
      <c r="H20" s="47" t="n"/>
      <c r="I20" s="49" t="inlineStr">
        <is>
          <t>杠杆调整后分母，NIM 最低</t>
        </is>
      </c>
    </row>
    <row r="21">
      <c r="A21" s="31" t="inlineStr">
        <is>
          <t>口径4 风险加权资产近似</t>
        </is>
      </c>
      <c r="B21" s="34">
        <f>SUMIF('①分母口径数据源'!$C$4:$C$27,"资产",'①分母口径数据源'!$F$4:$F$27)</f>
        <v/>
      </c>
      <c r="C21" s="34">
        <f>'⑤NIM计量表'!B16</f>
        <v/>
      </c>
      <c r="D21" s="63">
        <f>IF(B21=0,0,C21/B21)</f>
        <v/>
      </c>
      <c r="E21" s="66">
        <f>D21-'⑤NIM计量表'!$B$17</f>
        <v/>
      </c>
      <c r="F21" s="81">
        <f>RANK(D21,$D$18:$D$21)</f>
        <v/>
      </c>
      <c r="G21" s="35">
        <f>IF('⑤NIM计量表'!B7=0,0,B21/'⑤NIM计量表'!B7)</f>
        <v/>
      </c>
      <c r="H21" s="47" t="n"/>
      <c r="I21" s="49" t="inlineStr">
        <is>
          <t>近似口径</t>
        </is>
      </c>
    </row>
    <row r="23">
      <c r="A23" s="50" t="inlineStr">
        <is>
          <t>【三】NIM 风险敞口判定</t>
        </is>
      </c>
      <c r="B23" s="51" t="n"/>
      <c r="C23" s="51" t="n"/>
      <c r="D23" s="51" t="n"/>
      <c r="E23" s="51" t="n"/>
      <c r="F23" s="51" t="n"/>
      <c r="G23" s="51" t="n"/>
      <c r="H23" s="51" t="n"/>
      <c r="I23" s="51" t="n"/>
    </row>
    <row r="24">
      <c r="A24" s="44" t="inlineStr">
        <is>
          <t>加息 100bp 下 ΔNIM（核心敏感度）</t>
        </is>
      </c>
      <c r="B24" s="68">
        <f>H7</f>
        <v/>
      </c>
      <c r="C24" s="43" t="n"/>
      <c r="D24" s="43" t="n"/>
      <c r="E24" s="43" t="n"/>
      <c r="F24" s="43" t="n"/>
      <c r="G24" s="43" t="n"/>
      <c r="H24" s="43" t="n"/>
      <c r="I24" s="61" t="inlineStr">
        <is>
          <t>绝对值越大，NIM 对利率越敏感</t>
        </is>
      </c>
    </row>
    <row r="25">
      <c r="A25" s="31" t="inlineStr">
        <is>
          <t>加息 250bp 下 ΔNIM</t>
        </is>
      </c>
      <c r="B25" s="66">
        <f>H6</f>
        <v/>
      </c>
      <c r="C25" s="47" t="n"/>
      <c r="D25" s="47" t="n"/>
      <c r="E25" s="47" t="n"/>
      <c r="F25" s="47" t="n"/>
      <c r="G25" s="47" t="n"/>
      <c r="H25" s="47" t="n"/>
      <c r="I25" s="49" t="inlineStr">
        <is>
          <t>极端加息情景</t>
        </is>
      </c>
    </row>
    <row r="26">
      <c r="A26" s="31" t="inlineStr">
        <is>
          <t>降息 100bp 下 ΔNIM</t>
        </is>
      </c>
      <c r="B26" s="66">
        <f>H11</f>
        <v/>
      </c>
      <c r="C26" s="47" t="n"/>
      <c r="D26" s="47" t="n"/>
      <c r="E26" s="47" t="n"/>
      <c r="F26" s="47" t="n"/>
      <c r="G26" s="47" t="n"/>
      <c r="H26" s="47" t="n"/>
      <c r="I26" s="49" t="inlineStr">
        <is>
          <t>降息情景</t>
        </is>
      </c>
    </row>
    <row r="27">
      <c r="A27" s="31" t="inlineStr">
        <is>
          <t>分母口径敏感度（口径1 − 口径3）</t>
        </is>
      </c>
      <c r="B27" s="66">
        <f>E18-E20</f>
        <v/>
      </c>
      <c r="C27" s="47" t="n"/>
      <c r="D27" s="47" t="n"/>
      <c r="E27" s="47" t="n"/>
      <c r="F27" s="47" t="n"/>
      <c r="G27" s="47" t="n"/>
      <c r="H27" s="47" t="n"/>
      <c r="I27" s="49" t="inlineStr">
        <is>
          <t>仅口径差异导致的 NIM 变化</t>
        </is>
      </c>
    </row>
    <row r="28">
      <c r="A28" s="31" t="inlineStr">
        <is>
          <t>NIM 敏感度判定</t>
        </is>
      </c>
      <c r="B28" s="71">
        <f>IF(ABS(H7)&gt;0.005,"高敏感（|Δ|&gt;50bp）",IF(ABS(H7)&gt;0.002,"中敏感（20~50bp）","低敏感（&lt;20bp）"))</f>
        <v/>
      </c>
      <c r="C28" s="47" t="n"/>
      <c r="D28" s="47" t="n"/>
      <c r="E28" s="47" t="n"/>
      <c r="F28" s="47" t="n"/>
      <c r="G28" s="47" t="n"/>
      <c r="H28" s="47" t="n"/>
      <c r="I28" s="49" t="inlineStr">
        <is>
          <t>100bp 冲击下 NIM 变动</t>
        </is>
      </c>
    </row>
    <row r="29">
      <c r="A29" s="31" t="inlineStr">
        <is>
          <t>加息 250bp 是否跌破 1.50% 下限</t>
        </is>
      </c>
      <c r="B29" s="71">
        <f>IF(G6&lt;'⑤NIM计量表'!B67,"跌破","未跌破")</f>
        <v/>
      </c>
      <c r="C29" s="47" t="n"/>
      <c r="D29" s="47" t="n"/>
      <c r="E29" s="47" t="n"/>
      <c r="F29" s="47" t="n"/>
      <c r="G29" s="47" t="n"/>
      <c r="H29" s="47" t="n"/>
      <c r="I29" s="49" t="inlineStr">
        <is>
          <t>监管红线检验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32" customWidth="1" min="3" max="3"/>
  </cols>
  <sheetData>
    <row r="1" ht="24" customHeight="1">
      <c r="A1" s="1" t="inlineStr">
        <is>
          <t>⑧ NIM 计量逻辑说明 · 与 NII 模版的分工 · prcp 实体映射</t>
        </is>
      </c>
    </row>
    <row r="3">
      <c r="A3" s="50" t="inlineStr">
        <is>
          <t>【一】NIM 与 NII 模版的分工</t>
        </is>
      </c>
      <c r="B3" s="51" t="n"/>
      <c r="C3" s="51" t="n"/>
    </row>
    <row r="4">
      <c r="A4" s="48" t="inlineStr">
        <is>
          <t>NII 模版回答</t>
        </is>
      </c>
      <c r="B4" s="82" t="inlineStr">
        <is>
          <t>「一年赚了多少利息净收入」—— 关注分子口径与规模，单位亿元/年</t>
        </is>
      </c>
      <c r="C4" s="47" t="n"/>
    </row>
    <row r="5">
      <c r="A5" s="48" t="inlineStr">
        <is>
          <t>NIM 模版回答</t>
        </is>
      </c>
      <c r="B5" s="82" t="inlineStr">
        <is>
          <t>「每元生息资产赚多少」—— 关注分母口径与效率，单位 %</t>
        </is>
      </c>
      <c r="C5" s="47" t="n"/>
    </row>
    <row r="6">
      <c r="A6" s="48" t="inlineStr">
        <is>
          <t>关系式</t>
        </is>
      </c>
      <c r="B6" s="82" t="inlineStr">
        <is>
          <t>NIM = NII ÷ 平均生息资产；分子完全相同，差异全在分母界定</t>
        </is>
      </c>
      <c r="C6" s="47" t="n"/>
    </row>
    <row r="7">
      <c r="A7" s="48" t="inlineStr">
        <is>
          <t>共用数据</t>
        </is>
      </c>
      <c r="B7" s="82" t="inlineStr">
        <is>
          <t>两者同源于 prcp_basic_20251231.xlsx，24 个末级账户、余额、加权平均利率完全一致</t>
        </is>
      </c>
      <c r="C7" s="47" t="n"/>
    </row>
    <row r="8">
      <c r="A8" s="48" t="inlineStr">
        <is>
          <t>交叉校验</t>
        </is>
      </c>
      <c r="B8" s="82" t="inlineStr">
        <is>
          <t>⑤NIM计量表 的 NII 应等于 NII计量模版 的 NII（校验点，见【五】）</t>
        </is>
      </c>
      <c r="C8" s="47" t="n"/>
    </row>
    <row r="9">
      <c r="A9" s="50" t="inlineStr">
        <is>
          <t>【二】数据来源（prcp_basic_20251231.xlsx /「基础数据」）</t>
        </is>
      </c>
      <c r="B9" s="51" t="n"/>
      <c r="C9" s="51" t="n"/>
    </row>
    <row r="10">
      <c r="A10" s="48" t="inlineStr">
        <is>
          <t>当前余额</t>
        </is>
      </c>
      <c r="B10" s="82" t="inlineStr">
        <is>
          <t>①分母口径数据源!F 列 ← EJ 列（列 140），原始单位元，已换算亿元</t>
        </is>
      </c>
      <c r="C10" s="47" t="n"/>
    </row>
    <row r="11">
      <c r="A11" s="48" t="inlineStr">
        <is>
          <t>加权平均利率</t>
        </is>
      </c>
      <c r="B11" s="82" t="inlineStr">
        <is>
          <t>①分母口径数据源!G 列 ← EL 列（列 142），已 /100 存为小数</t>
        </is>
      </c>
      <c r="C11" s="47" t="n"/>
    </row>
    <row r="12">
      <c r="A12" s="48" t="inlineStr">
        <is>
          <t>年度利息</t>
        </is>
      </c>
      <c r="B12" s="82" t="inlineStr">
        <is>
          <t>①分母口径数据源!H 列 = F × G，等价于参照物 EM 列 × 12</t>
        </is>
      </c>
      <c r="C12" s="47" t="n"/>
    </row>
    <row r="13">
      <c r="A13" s="48" t="inlineStr">
        <is>
          <t>剩余期限分布</t>
        </is>
      </c>
      <c r="B13" s="82" t="inlineStr">
        <is>
          <t>②期限分布!C~BJ 列 ← BX~EI 列（列 76~139），64 桶</t>
        </is>
      </c>
      <c r="C13" s="47" t="n"/>
    </row>
    <row r="14">
      <c r="A14" s="48" t="inlineStr">
        <is>
          <t>1 年内到期</t>
        </is>
      </c>
      <c r="B14" s="82" t="inlineStr">
        <is>
          <t>②期限分布 第 3+NB 列 = SUM(1M~12M 十二个桶)</t>
        </is>
      </c>
      <c r="C14" s="47" t="n"/>
    </row>
    <row r="15">
      <c r="A15" s="48" t="inlineStr">
        <is>
          <t>风险权重</t>
        </is>
      </c>
      <c r="B15" s="82" t="inlineStr">
        <is>
          <t>①分母口径数据源!N 列 ← EN 列（列 144），RWA 近似口径用</t>
        </is>
      </c>
      <c r="C15" s="47" t="n"/>
    </row>
    <row r="16">
      <c r="A16" s="48" t="inlineStr">
        <is>
          <t>总资产 / 总负债 / 权益</t>
        </is>
      </c>
      <c r="B16" s="82" t="inlineStr">
        <is>
          <t>参照物 R4 / R29 / R43 的 EJ 列：108 万亿 / 98 万亿 / 10 万亿</t>
        </is>
      </c>
      <c r="C16" s="47" t="n"/>
    </row>
    <row r="17">
      <c r="A17" s="50" t="inlineStr">
        <is>
          <t>【三】★ 核心：NIM 分母界定</t>
        </is>
      </c>
      <c r="B17" s="51" t="n"/>
      <c r="C17" s="51" t="n"/>
    </row>
    <row r="18">
      <c r="A18" s="48" t="inlineStr">
        <is>
          <t>生息资产判定</t>
        </is>
      </c>
      <c r="B18" s="82" t="inlineStr">
        <is>
          <t>资产端 且 加权平均利率 &gt; 0 → 生息资产(EA)，计入 NIM 分母</t>
        </is>
      </c>
      <c r="C18" s="47" t="n"/>
    </row>
    <row r="19">
      <c r="A19" s="48" t="inlineStr">
        <is>
          <t>非生息判定</t>
        </is>
      </c>
      <c r="B19" s="82" t="inlineStr">
        <is>
          <t>资产端 且 利率 = 0 → 非生息(NEA)，不计入分母，但计入总资产</t>
        </is>
      </c>
      <c r="C19" s="47" t="n"/>
    </row>
    <row r="20">
      <c r="A20" s="48" t="inlineStr">
        <is>
          <t>本行分母构成</t>
        </is>
      </c>
      <c r="B20" s="82" t="inlineStr">
        <is>
          <t>生息资产 105 万亿 + 非生息资产 3 万亿 = 总资产 108 万亿</t>
        </is>
      </c>
      <c r="C20" s="47" t="n"/>
    </row>
    <row r="21">
      <c r="A21" s="48" t="inlineStr">
        <is>
          <t>★ NIM ≠ NIS</t>
        </is>
      </c>
      <c r="B21" s="82" t="inlineStr">
        <is>
          <t>NIM = NIS × (计息负债 ÷ 生息资产)；本行系数 93.33%</t>
        </is>
      </c>
      <c r="C21" s="47" t="n"/>
    </row>
    <row r="22">
      <c r="A22" s="48" t="inlineStr">
        <is>
          <t>规模错配拖累</t>
        </is>
      </c>
      <c r="B22" s="82" t="inlineStr">
        <is>
          <t>非生息资产不为负债融资，故分母 &gt; 分子对应规模，NIS &gt; NIM</t>
        </is>
      </c>
      <c r="C22" s="47" t="n"/>
    </row>
    <row r="23">
      <c r="A23" s="48" t="inlineStr">
        <is>
          <t>多口径对比</t>
        </is>
      </c>
      <c r="B23" s="82" t="inlineStr">
        <is>
          <t>5 种候选分母并列，量化口径差异（NIM 可相差多个百分点）</t>
        </is>
      </c>
      <c r="C23" s="47" t="n"/>
    </row>
    <row r="24">
      <c r="A24" s="50" t="inlineStr">
        <is>
          <t>【四】核心计量公式</t>
        </is>
      </c>
      <c r="B24" s="51" t="n"/>
      <c r="C24" s="51" t="n"/>
    </row>
    <row r="25">
      <c r="A25" s="48" t="inlineStr">
        <is>
          <t>年度利息</t>
        </is>
      </c>
      <c r="B25" s="82" t="inlineStr">
        <is>
          <t>I_i = 当前余额_i × 加权平均利率_i</t>
        </is>
      </c>
      <c r="C25" s="47" t="n"/>
    </row>
    <row r="26">
      <c r="A26" s="48" t="inlineStr">
        <is>
          <t>利息收入</t>
        </is>
      </c>
      <c r="B26" s="82" t="inlineStr">
        <is>
          <t>Σ 生息资产 I_i</t>
        </is>
      </c>
      <c r="C26" s="47" t="n"/>
    </row>
    <row r="27">
      <c r="A27" s="48" t="inlineStr">
        <is>
          <t>利息支出</t>
        </is>
      </c>
      <c r="B27" s="82" t="inlineStr">
        <is>
          <t>Σ 计息负债 I_i</t>
        </is>
      </c>
      <c r="C27" s="47" t="n"/>
    </row>
    <row r="28">
      <c r="A28" s="48" t="inlineStr">
        <is>
          <t>★ 净息差 NIM</t>
        </is>
      </c>
      <c r="B28" s="82" t="inlineStr">
        <is>
          <t>NIM = (利息收入 − 利息支出) ÷ 生息资产余额</t>
        </is>
      </c>
      <c r="C28" s="47" t="n"/>
    </row>
    <row r="29">
      <c r="A29" s="48" t="inlineStr">
        <is>
          <t>生息资产收益率</t>
        </is>
      </c>
      <c r="B29" s="82">
        <f> 利息收入 ÷ 生息资产余额</f>
        <v/>
      </c>
      <c r="C29" s="47" t="n"/>
    </row>
    <row r="30">
      <c r="A30" s="48" t="inlineStr">
        <is>
          <t>计息负债成本率</t>
        </is>
      </c>
      <c r="B30" s="82">
        <f> 利息支出 ÷ 计息负债余额</f>
        <v/>
      </c>
      <c r="C30" s="47" t="n"/>
    </row>
    <row r="31">
      <c r="A31" s="48" t="inlineStr">
        <is>
          <t>★ 净利差 NIS</t>
        </is>
      </c>
      <c r="B31" s="82" t="inlineStr">
        <is>
          <t>NIS = 生息资产收益率 − 计息负债成本率</t>
        </is>
      </c>
      <c r="C31" s="47" t="n"/>
    </row>
    <row r="32">
      <c r="A32" s="48" t="inlineStr">
        <is>
          <t>★ 规模调整系数</t>
        </is>
      </c>
      <c r="B32" s="82" t="inlineStr">
        <is>
          <t>k = 计息负债 ÷ 生息资产；NIM = NIS × k</t>
        </is>
      </c>
      <c r="C32" s="47" t="n"/>
    </row>
    <row r="33">
      <c r="A33" s="48" t="inlineStr">
        <is>
          <t>杜邦三分解</t>
        </is>
      </c>
      <c r="B33" s="82" t="inlineStr">
        <is>
          <t>NIM = 收益率 × 资产效率 − 成本率 × (负债 ÷ 资产端合计)</t>
        </is>
      </c>
      <c r="C33" s="47" t="n"/>
    </row>
    <row r="34">
      <c r="A34" s="48" t="inlineStr">
        <is>
          <t>重定价 β</t>
        </is>
      </c>
      <c r="B34" s="82">
        <f> MIN(0.98, MAX(0.10, 1年内到期 ÷ Σ分布))</f>
        <v/>
      </c>
      <c r="C34" s="47" t="n"/>
    </row>
    <row r="35">
      <c r="A35" s="48" t="inlineStr">
        <is>
          <t>ΔNII 敏感度</t>
        </is>
      </c>
      <c r="B35" s="82" t="inlineStr">
        <is>
          <t>ΔNII = −Δr × (A_β − L_β)；ΔNIM = ΔNII ÷ 生息资产</t>
        </is>
      </c>
      <c r="C35" s="47" t="n"/>
    </row>
    <row r="36">
      <c r="A36" s="50" t="inlineStr">
        <is>
          <t>【五】与 NII 计量模版的分工对照</t>
        </is>
      </c>
      <c r="B36" s="51" t="n"/>
      <c r="C36" s="51" t="n"/>
    </row>
    <row r="37">
      <c r="A37" s="48" t="inlineStr">
        <is>
          <t>①~② 数据源</t>
        </is>
      </c>
      <c r="B37" s="82" t="inlineStr">
        <is>
          <t>NII 模版与 NIM 模版同源，均直接取自 prcp_basic_20251231.xlsx</t>
        </is>
      </c>
      <c r="C37" s="47" t="n"/>
    </row>
    <row r="38">
      <c r="A38" s="48" t="inlineStr">
        <is>
          <t>③④⑤⑥ 对应</t>
        </is>
      </c>
      <c r="B38" s="82" t="inlineStr">
        <is>
          <t>NII 模版「④利息收入明细」≈ NIM 模版「③生息资产界定」的生息资产部分</t>
        </is>
      </c>
      <c r="C38" s="47" t="n"/>
    </row>
    <row r="39">
      <c r="A39" s="48" t="inlineStr">
        <is>
          <t>NIM 模版独有</t>
        </is>
      </c>
      <c r="B39" s="82" t="inlineStr">
        <is>
          <t>⑤NIM计量表【四】NIS 分解、【五】多口径 NIM、【六】杜邦三分解</t>
        </is>
      </c>
      <c r="C39" s="47" t="n"/>
    </row>
    <row r="40">
      <c r="A40" s="48" t="inlineStr">
        <is>
          <t>⑥NII驱动分解 独有</t>
        </is>
      </c>
      <c r="B40" s="82" t="inlineStr">
        <is>
          <t>量 / 价 / 结构三因子 + 6 类结构优化情景的 NIM 提升空间</t>
        </is>
      </c>
      <c r="C40" s="47" t="n"/>
    </row>
    <row r="41">
      <c r="A41" s="48" t="inlineStr">
        <is>
          <t>⑦情景敏感性 差异</t>
        </is>
      </c>
      <c r="B41" s="82" t="inlineStr">
        <is>
          <t>NII 模版看 ΔNII（亿元），NIM 模版看 ΔNIM（百分点）</t>
        </is>
      </c>
      <c r="C41" s="47" t="n"/>
    </row>
    <row r="42">
      <c r="A42" s="48" t="inlineStr">
        <is>
          <t>交叉校验点</t>
        </is>
      </c>
      <c r="B42" s="82" t="inlineStr">
        <is>
          <t>两者 NII 应完全相等；分母口径是 NIM 独有的分析维度</t>
        </is>
      </c>
      <c r="C42" s="47" t="n"/>
    </row>
    <row r="43">
      <c r="A43" s="50" t="inlineStr">
        <is>
          <t>【六】prcp 平台实体映射</t>
        </is>
      </c>
      <c r="B43" s="51" t="n"/>
      <c r="C43" s="51" t="n"/>
    </row>
    <row r="44">
      <c r="A44" s="48" t="inlineStr">
        <is>
          <t>KpiScheme（指标方案）</t>
        </is>
      </c>
      <c r="B44" s="82" t="inlineStr">
        <is>
          <t>NIM 指标方案主体，绑定账户册方案 CoaScheme（方案 8）</t>
        </is>
      </c>
      <c r="C44" s="47" t="n"/>
    </row>
    <row r="45">
      <c r="A45" s="48" t="inlineStr">
        <is>
          <t>KpiDefinition（指标定义）</t>
        </is>
      </c>
      <c r="B45" s="82" t="inlineStr">
        <is>
          <t>NIM 定义：formula = NII ÷ 生息资产，unit = %</t>
        </is>
      </c>
      <c r="C45" s="47" t="n"/>
    </row>
    <row r="46">
      <c r="A46" s="48" t="inlineStr">
        <is>
          <t>KpiDefinition（关联）</t>
        </is>
      </c>
      <c r="B46" s="82" t="inlineStr">
        <is>
          <t>NIM 定义引用 NII（KpiDefinition of NII）作为分子</t>
        </is>
      </c>
      <c r="C46" s="47" t="n"/>
    </row>
    <row r="47">
      <c r="A47" s="48" t="inlineStr">
        <is>
          <t>MetricCoefficient（系数）</t>
        </is>
      </c>
      <c r="B47" s="82" t="inlineStr">
        <is>
          <t>各账户加权平均利率、生息资产标志 → 系数表配置项</t>
        </is>
      </c>
      <c r="C47" s="47" t="n"/>
    </row>
    <row r="48">
      <c r="A48" s="48" t="inlineStr">
        <is>
          <t>KpiValue（指标值）</t>
        </is>
      </c>
      <c r="B48" s="82" t="inlineStr">
        <is>
          <t>落库：value + value_date + scheme_id + definition_id</t>
        </is>
      </c>
      <c r="C48" s="47" t="n"/>
    </row>
    <row r="49">
      <c r="A49" s="48" t="inlineStr">
        <is>
          <t>CoaNode（账户节点）</t>
        </is>
      </c>
      <c r="B49" s="82" t="inlineStr">
        <is>
          <t>24 个末级账户对应 prcp_coa_node，node_code 即 ①!A 列编码</t>
        </is>
      </c>
      <c r="C49" s="47" t="n"/>
    </row>
    <row r="50">
      <c r="A50" s="48" t="inlineStr">
        <is>
          <t>prcp_data_basic</t>
        </is>
      </c>
      <c r="B50" s="82" t="inlineStr">
        <is>
          <t>余额与期限分布对应 rem_* 64 桶列；风险权重对应 rw 列</t>
        </is>
      </c>
      <c r="C50" s="47" t="n"/>
    </row>
    <row r="51">
      <c r="A51" s="48" t="inlineStr">
        <is>
          <t>SimScheme（测算方案）</t>
        </is>
      </c>
      <c r="B51" s="82" t="inlineStr">
        <is>
          <t>利率情景与结构优化情景对应测算方案，批量重算 NIM</t>
        </is>
      </c>
      <c r="C51" s="47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2026-10-23T07:31:34Z</dcterms:created>
  <dcterms:modified xsi:type="dcterms:W3CDTF">2026-10-23T07:31:34Z</dcterms:modified>
</cp:coreProperties>
</file>