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E项目明细" sheetId="1" state="visible" r:id="rId1"/>
    <sheet xmlns:r="http://schemas.openxmlformats.org/officeDocument/2006/relationships" name="ROE计算" sheetId="2" state="visible" r:id="rId2"/>
    <sheet xmlns:r="http://schemas.openxmlformats.org/officeDocument/2006/relationships" name="折算依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00%"/>
  </numFmts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color rgb="001F4E78"/>
      <sz val="10"/>
    </font>
    <font>
      <name val="Microsoft YaHei"/>
      <b val="1"/>
      <color rgb="001F4E78"/>
      <sz val="12"/>
    </font>
    <font>
      <name val="Microsoft YaHei"/>
      <b val="1"/>
      <color rgb="00C00000"/>
      <sz val="11"/>
    </font>
    <font>
      <name val="Microsoft YaHei"/>
      <b val="1"/>
      <color rgb="00C00000"/>
      <sz val="12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7F0F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horizontal="center" vertical="center" wrapText="1"/>
    </xf>
    <xf numFmtId="164" fontId="2" fillId="4" borderId="0" pivotButton="0" quotePrefix="0" xfId="0"/>
    <xf numFmtId="0" fontId="0" fillId="4" borderId="0" pivotButton="0" quotePrefix="0" xfId="0"/>
    <xf numFmtId="164" fontId="3" fillId="4" borderId="0" pivotButton="0" quotePrefix="0" xfId="0"/>
    <xf numFmtId="164" fontId="3" fillId="3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3" fillId="5" borderId="0" pivotButton="0" quotePrefix="0" xfId="0"/>
    <xf numFmtId="164" fontId="0" fillId="0" borderId="0" pivotButton="0" quotePrefix="0" xfId="0"/>
    <xf numFmtId="0" fontId="3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0" fontId="6" fillId="3" borderId="0" pivotButton="0" quotePrefix="0" xfId="0"/>
    <xf numFmtId="165" fontId="6" fillId="3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0" customWidth="1" min="3" max="3"/>
    <col width="22" customWidth="1" min="4" max="4"/>
    <col width="14" customWidth="1" min="5" max="5"/>
    <col width="10" customWidth="1" min="6" max="6"/>
    <col width="22" customWidth="1" min="7" max="7"/>
    <col width="14" customWidth="1" min="8" max="8"/>
    <col width="10" customWidth="1" min="9" max="9"/>
    <col width="22" customWidth="1" min="10" max="10"/>
    <col width="35" customWidth="1" min="11" max="11"/>
  </cols>
  <sheetData>
    <row r="1" ht="30" customHeight="1">
      <c r="A1" s="1" t="inlineStr">
        <is>
          <t>项目序号</t>
        </is>
      </c>
      <c r="B1" s="1" t="inlineStr">
        <is>
          <t>项目名称</t>
        </is>
      </c>
      <c r="C1" s="1" t="inlineStr">
        <is>
          <t>是否末级节点</t>
        </is>
      </c>
      <c r="D1" s="1" t="inlineStr">
        <is>
          <t>当前余额（人民币元）</t>
        </is>
      </c>
      <c r="E1" s="1" t="inlineStr">
        <is>
          <t>是否计入净利润</t>
        </is>
      </c>
      <c r="F1" s="1" t="inlineStr">
        <is>
          <t>净利润符号</t>
        </is>
      </c>
      <c r="G1" s="1" t="inlineStr">
        <is>
          <t>净利润贡献</t>
        </is>
      </c>
      <c r="H1" s="1" t="inlineStr">
        <is>
          <t>是否计入净资产</t>
        </is>
      </c>
      <c r="I1" s="1" t="inlineStr">
        <is>
          <t>净资产符号</t>
        </is>
      </c>
      <c r="J1" s="1" t="inlineStr">
        <is>
          <t>净资产贡献</t>
        </is>
      </c>
      <c r="K1" s="1" t="inlineStr">
        <is>
          <t>ROE 规则说明</t>
        </is>
      </c>
    </row>
    <row r="2">
      <c r="A2" s="2" t="inlineStr">
        <is>
          <t>S010000000000</t>
        </is>
      </c>
      <c r="B2" s="2" t="inlineStr">
        <is>
          <t>总资产</t>
        </is>
      </c>
      <c r="C2" s="3" t="inlineStr">
        <is>
          <t>否</t>
        </is>
      </c>
      <c r="D2" s="4" t="n"/>
      <c r="E2" s="3" t="n"/>
      <c r="F2" s="3" t="inlineStr">
        <is>
          <t>-</t>
        </is>
      </c>
      <c r="G2" s="4" t="n">
        <v>0</v>
      </c>
      <c r="I2" s="3" t="n"/>
      <c r="J2" s="3" t="inlineStr">
        <is>
          <t>-</t>
        </is>
      </c>
      <c r="K2" s="4" t="n">
        <v>0</v>
      </c>
      <c r="L2" s="2" t="n"/>
    </row>
    <row r="3">
      <c r="A3" s="2" t="inlineStr">
        <is>
          <t>S010100000000</t>
        </is>
      </c>
      <c r="B3" s="2" t="inlineStr">
        <is>
          <t>（一）人民币小计</t>
        </is>
      </c>
      <c r="C3" s="3" t="inlineStr">
        <is>
          <t>否</t>
        </is>
      </c>
      <c r="D3" s="4" t="n"/>
      <c r="E3" s="3" t="n"/>
      <c r="F3" s="3" t="inlineStr">
        <is>
          <t>-</t>
        </is>
      </c>
      <c r="G3" s="4" t="n">
        <v>0</v>
      </c>
      <c r="I3" s="3" t="n"/>
      <c r="J3" s="3" t="inlineStr">
        <is>
          <t>-</t>
        </is>
      </c>
      <c r="K3" s="4" t="n">
        <v>0</v>
      </c>
      <c r="L3" s="2" t="n"/>
    </row>
    <row r="4">
      <c r="A4" s="2" t="inlineStr">
        <is>
          <t>S010101000000</t>
        </is>
      </c>
      <c r="B4" s="2" t="inlineStr">
        <is>
          <t>1.境内人民币各项贷款</t>
        </is>
      </c>
      <c r="C4" s="3" t="inlineStr">
        <is>
          <t>否</t>
        </is>
      </c>
      <c r="D4" s="4" t="n">
        <v>8380847647531.74</v>
      </c>
      <c r="E4" s="3" t="n"/>
      <c r="F4" s="3" t="inlineStr">
        <is>
          <t>-</t>
        </is>
      </c>
      <c r="G4" s="4" t="n">
        <v>0</v>
      </c>
      <c r="I4" s="3" t="n"/>
      <c r="J4" s="3" t="inlineStr">
        <is>
          <t>-</t>
        </is>
      </c>
      <c r="K4" s="4" t="n">
        <v>0</v>
      </c>
      <c r="L4" s="2" t="n"/>
    </row>
    <row r="5">
      <c r="A5" s="2" t="inlineStr">
        <is>
          <t>S010101010000</t>
        </is>
      </c>
      <c r="B5" s="2" t="inlineStr">
        <is>
          <t>1.1.对公一般贷款</t>
        </is>
      </c>
      <c r="C5" s="3" t="inlineStr">
        <is>
          <t>是</t>
        </is>
      </c>
      <c r="D5" s="4" t="n">
        <v>2945272044075.94</v>
      </c>
      <c r="E5" s="3" t="n"/>
      <c r="F5" s="3" t="inlineStr">
        <is>
          <t>-</t>
        </is>
      </c>
      <c r="G5" s="4" t="n">
        <v>0</v>
      </c>
      <c r="I5" s="3" t="n"/>
      <c r="J5" s="3" t="inlineStr">
        <is>
          <t>-</t>
        </is>
      </c>
      <c r="K5" s="4" t="n">
        <v>0</v>
      </c>
      <c r="L5" s="2" t="n"/>
    </row>
    <row r="6">
      <c r="A6" s="2" t="inlineStr">
        <is>
          <t>S010101020000</t>
        </is>
      </c>
      <c r="B6" s="2" t="inlineStr">
        <is>
          <t>1.2.个人贷款</t>
        </is>
      </c>
      <c r="C6" s="3" t="inlineStr">
        <is>
          <t>是</t>
        </is>
      </c>
      <c r="D6" s="4" t="n">
        <v>1828186569200.79</v>
      </c>
      <c r="E6" s="3" t="n"/>
      <c r="F6" s="3" t="inlineStr">
        <is>
          <t>-</t>
        </is>
      </c>
      <c r="G6" s="4" t="n">
        <v>0</v>
      </c>
      <c r="I6" s="3" t="n"/>
      <c r="J6" s="3" t="inlineStr">
        <is>
          <t>-</t>
        </is>
      </c>
      <c r="K6" s="4" t="n">
        <v>0</v>
      </c>
      <c r="L6" s="2" t="n"/>
    </row>
    <row r="7">
      <c r="A7" s="2" t="inlineStr">
        <is>
          <t>S010101030000</t>
        </is>
      </c>
      <c r="B7" s="2" t="inlineStr">
        <is>
          <t>1.3.信用卡贷款</t>
        </is>
      </c>
      <c r="C7" s="3" t="inlineStr">
        <is>
          <t>是</t>
        </is>
      </c>
      <c r="D7" s="4" t="n">
        <v>444525501384.64</v>
      </c>
      <c r="E7" s="3" t="n"/>
      <c r="F7" s="3" t="inlineStr">
        <is>
          <t>-</t>
        </is>
      </c>
      <c r="G7" s="4" t="n">
        <v>0</v>
      </c>
      <c r="I7" s="3" t="n"/>
      <c r="J7" s="3" t="inlineStr">
        <is>
          <t>-</t>
        </is>
      </c>
      <c r="K7" s="4" t="n">
        <v>0</v>
      </c>
      <c r="L7" s="2" t="n"/>
    </row>
    <row r="8">
      <c r="A8" s="2" t="inlineStr">
        <is>
          <t>S010101040000</t>
        </is>
      </c>
      <c r="B8" s="2" t="inlineStr">
        <is>
          <t>1.4.票据贴现</t>
        </is>
      </c>
      <c r="C8" s="3" t="inlineStr">
        <is>
          <t>是</t>
        </is>
      </c>
      <c r="D8" s="4" t="n">
        <v>201340076281.32</v>
      </c>
      <c r="E8" s="3" t="n"/>
      <c r="F8" s="3" t="inlineStr">
        <is>
          <t>-</t>
        </is>
      </c>
      <c r="G8" s="4" t="n">
        <v>0</v>
      </c>
      <c r="I8" s="3" t="n"/>
      <c r="J8" s="3" t="inlineStr">
        <is>
          <t>-</t>
        </is>
      </c>
      <c r="K8" s="4" t="n">
        <v>0</v>
      </c>
      <c r="L8" s="2" t="n"/>
    </row>
    <row r="9">
      <c r="A9" s="2" t="inlineStr">
        <is>
          <t>S010101050000</t>
        </is>
      </c>
      <c r="B9" s="2" t="inlineStr">
        <is>
          <t>1.5.非银贷款</t>
        </is>
      </c>
      <c r="C9" s="3" t="inlineStr">
        <is>
          <t>是</t>
        </is>
      </c>
      <c r="D9" s="4" t="n">
        <v>348478250000</v>
      </c>
      <c r="E9" s="3" t="n"/>
      <c r="F9" s="3" t="inlineStr">
        <is>
          <t>-</t>
        </is>
      </c>
      <c r="G9" s="4" t="n">
        <v>0</v>
      </c>
      <c r="I9" s="3" t="n"/>
      <c r="J9" s="3" t="inlineStr">
        <is>
          <t>-</t>
        </is>
      </c>
      <c r="K9" s="4" t="n">
        <v>0</v>
      </c>
      <c r="L9" s="2" t="n"/>
    </row>
    <row r="10">
      <c r="A10" s="2" t="inlineStr">
        <is>
          <t>S010102000000</t>
        </is>
      </c>
      <c r="B10" s="2" t="inlineStr">
        <is>
          <t>2.人民币非信贷类业务</t>
        </is>
      </c>
      <c r="C10" s="3" t="inlineStr">
        <is>
          <t>否</t>
        </is>
      </c>
      <c r="D10" s="4" t="n">
        <v>2613045206589.05</v>
      </c>
      <c r="E10" s="3" t="n"/>
      <c r="F10" s="3" t="inlineStr">
        <is>
          <t>-</t>
        </is>
      </c>
      <c r="G10" s="4" t="n">
        <v>0</v>
      </c>
      <c r="I10" s="3" t="n"/>
      <c r="J10" s="3" t="inlineStr">
        <is>
          <t>-</t>
        </is>
      </c>
      <c r="K10" s="4" t="n">
        <v>0</v>
      </c>
      <c r="L10" s="2" t="n"/>
    </row>
    <row r="11">
      <c r="A11" s="2" t="inlineStr">
        <is>
          <t>S010102010000</t>
        </is>
      </c>
      <c r="B11" s="2" t="inlineStr">
        <is>
          <t>2.1.债券投资</t>
        </is>
      </c>
      <c r="C11" s="3" t="inlineStr">
        <is>
          <t>否</t>
        </is>
      </c>
      <c r="D11" s="4" t="n">
        <v>1794400523623.64</v>
      </c>
      <c r="E11" s="3" t="n"/>
      <c r="F11" s="3" t="inlineStr">
        <is>
          <t>-</t>
        </is>
      </c>
      <c r="G11" s="4" t="n">
        <v>0</v>
      </c>
      <c r="I11" s="3" t="n"/>
      <c r="J11" s="3" t="inlineStr">
        <is>
          <t>-</t>
        </is>
      </c>
      <c r="K11" s="4" t="n">
        <v>0</v>
      </c>
      <c r="L11" s="2" t="n"/>
    </row>
    <row r="12">
      <c r="A12" s="2" t="inlineStr">
        <is>
          <t>S010102010100</t>
        </is>
      </c>
      <c r="B12" s="2" t="inlineStr">
        <is>
          <t>2.1.1金市自营债券</t>
        </is>
      </c>
      <c r="C12" s="3" t="inlineStr">
        <is>
          <t>否</t>
        </is>
      </c>
      <c r="D12" s="4" t="n">
        <v>1184382566128.63</v>
      </c>
      <c r="E12" s="3" t="n"/>
      <c r="F12" s="3" t="inlineStr">
        <is>
          <t>-</t>
        </is>
      </c>
      <c r="G12" s="4" t="n">
        <v>0</v>
      </c>
      <c r="I12" s="3" t="n"/>
      <c r="J12" s="3" t="inlineStr">
        <is>
          <t>-</t>
        </is>
      </c>
      <c r="K12" s="4" t="n">
        <v>0</v>
      </c>
      <c r="L12" s="2" t="n"/>
    </row>
    <row r="13">
      <c r="A13" s="2" t="inlineStr">
        <is>
          <t>S010102010101</t>
        </is>
      </c>
      <c r="B13" s="2" t="inlineStr">
        <is>
          <t>2.1.1.1AC</t>
        </is>
      </c>
      <c r="C13" s="3" t="inlineStr">
        <is>
          <t>是</t>
        </is>
      </c>
      <c r="D13" s="4" t="n">
        <v>543980069724.63</v>
      </c>
      <c r="E13" s="3" t="n"/>
      <c r="F13" s="3" t="inlineStr">
        <is>
          <t>-</t>
        </is>
      </c>
      <c r="G13" s="4" t="n">
        <v>0</v>
      </c>
      <c r="I13" s="3" t="n"/>
      <c r="J13" s="3" t="inlineStr">
        <is>
          <t>-</t>
        </is>
      </c>
      <c r="K13" s="4" t="n">
        <v>0</v>
      </c>
      <c r="L13" s="2" t="n"/>
    </row>
    <row r="14">
      <c r="A14" s="2" t="inlineStr">
        <is>
          <t>S010102010102</t>
        </is>
      </c>
      <c r="B14" s="2" t="inlineStr">
        <is>
          <t>2.1.1.2FVOCI</t>
        </is>
      </c>
      <c r="C14" s="3" t="inlineStr">
        <is>
          <t>是</t>
        </is>
      </c>
      <c r="D14" s="4" t="n">
        <v>640402496404</v>
      </c>
      <c r="E14" s="3" t="n"/>
      <c r="F14" s="3" t="inlineStr">
        <is>
          <t>-</t>
        </is>
      </c>
      <c r="G14" s="4" t="n">
        <v>0</v>
      </c>
      <c r="I14" s="3" t="n"/>
      <c r="J14" s="3" t="inlineStr">
        <is>
          <t>-</t>
        </is>
      </c>
      <c r="K14" s="4" t="n">
        <v>0</v>
      </c>
      <c r="L14" s="2" t="n"/>
    </row>
    <row r="15">
      <c r="A15" s="2" t="inlineStr">
        <is>
          <t>S010102010103</t>
        </is>
      </c>
      <c r="B15" s="2" t="inlineStr">
        <is>
          <t>2.1.1.3FVTPL</t>
        </is>
      </c>
      <c r="C15" s="3" t="inlineStr">
        <is>
          <t>是</t>
        </is>
      </c>
      <c r="D15" s="4" t="n">
        <v>50000000000</v>
      </c>
      <c r="E15" s="3" t="n"/>
      <c r="F15" s="3" t="inlineStr">
        <is>
          <t>-</t>
        </is>
      </c>
      <c r="G15" s="4" t="n">
        <v>0</v>
      </c>
      <c r="I15" s="3" t="n"/>
      <c r="J15" s="3" t="inlineStr">
        <is>
          <t>-</t>
        </is>
      </c>
      <c r="K15" s="4" t="n">
        <v>0</v>
      </c>
      <c r="L15" s="2" t="n"/>
    </row>
    <row r="16">
      <c r="A16" s="2" t="inlineStr">
        <is>
          <t>S010102010200</t>
        </is>
      </c>
      <c r="B16" s="2" t="inlineStr">
        <is>
          <t>2.1.2司库债券</t>
        </is>
      </c>
      <c r="C16" s="3" t="inlineStr">
        <is>
          <t>是</t>
        </is>
      </c>
      <c r="D16" s="4" t="n">
        <v>610017957495.01</v>
      </c>
      <c r="E16" s="3" t="n"/>
      <c r="F16" s="3" t="inlineStr">
        <is>
          <t>-</t>
        </is>
      </c>
      <c r="G16" s="4" t="n">
        <v>0</v>
      </c>
      <c r="I16" s="3" t="n"/>
      <c r="J16" s="3" t="inlineStr">
        <is>
          <t>-</t>
        </is>
      </c>
      <c r="K16" s="4" t="n">
        <v>0</v>
      </c>
      <c r="L16" s="2" t="n"/>
    </row>
    <row r="17">
      <c r="A17" s="2" t="inlineStr">
        <is>
          <t>S010102010201</t>
        </is>
      </c>
      <c r="B17" s="2" t="inlineStr">
        <is>
          <t>2.1.2.1AC</t>
        </is>
      </c>
      <c r="C17" s="3" t="inlineStr">
        <is>
          <t>是</t>
        </is>
      </c>
      <c r="D17" s="4" t="n">
        <v>566351367717.5</v>
      </c>
      <c r="E17" s="3" t="n"/>
      <c r="F17" s="3" t="inlineStr">
        <is>
          <t>-</t>
        </is>
      </c>
      <c r="G17" s="4" t="n">
        <v>0</v>
      </c>
      <c r="I17" s="3" t="n"/>
      <c r="J17" s="3" t="inlineStr">
        <is>
          <t>-</t>
        </is>
      </c>
      <c r="K17" s="4" t="n">
        <v>0</v>
      </c>
      <c r="L17" s="2" t="n"/>
    </row>
    <row r="18">
      <c r="A18" s="2" t="inlineStr">
        <is>
          <t>S010102010202</t>
        </is>
      </c>
      <c r="B18" s="2" t="inlineStr">
        <is>
          <t>2.1.2.2FVOCI</t>
        </is>
      </c>
      <c r="C18" s="3" t="inlineStr">
        <is>
          <t>是</t>
        </is>
      </c>
      <c r="D18" s="4" t="n">
        <v>43666589777.51</v>
      </c>
      <c r="E18" s="3" t="n"/>
      <c r="F18" s="3" t="inlineStr">
        <is>
          <t>-</t>
        </is>
      </c>
      <c r="G18" s="4" t="n">
        <v>0</v>
      </c>
      <c r="I18" s="3" t="n"/>
      <c r="J18" s="3" t="inlineStr">
        <is>
          <t>-</t>
        </is>
      </c>
      <c r="K18" s="4" t="n">
        <v>0</v>
      </c>
      <c r="L18" s="2" t="n"/>
    </row>
    <row r="19">
      <c r="A19" s="2" t="inlineStr">
        <is>
          <t>S010102010203</t>
        </is>
      </c>
      <c r="B19" s="2" t="inlineStr">
        <is>
          <t>2.1.2.3FVTPL</t>
        </is>
      </c>
      <c r="C19" s="3" t="inlineStr">
        <is>
          <t>是</t>
        </is>
      </c>
      <c r="D19" s="4" t="n">
        <v>30000000000</v>
      </c>
      <c r="E19" s="3" t="n"/>
      <c r="F19" s="3" t="inlineStr">
        <is>
          <t>-</t>
        </is>
      </c>
      <c r="G19" s="4" t="n">
        <v>0</v>
      </c>
      <c r="I19" s="3" t="n"/>
      <c r="J19" s="3" t="inlineStr">
        <is>
          <t>-</t>
        </is>
      </c>
      <c r="K19" s="4" t="n">
        <v>0</v>
      </c>
      <c r="L19" s="2" t="n"/>
    </row>
    <row r="20">
      <c r="A20" s="2" t="inlineStr">
        <is>
          <t>S010102020000</t>
        </is>
      </c>
      <c r="B20" s="2" t="inlineStr">
        <is>
          <t>2.2.结构化融资</t>
        </is>
      </c>
      <c r="C20" s="3" t="inlineStr">
        <is>
          <t>是</t>
        </is>
      </c>
      <c r="D20" s="4" t="n">
        <v>205172333337.52</v>
      </c>
      <c r="E20" s="3" t="n"/>
      <c r="F20" s="3" t="inlineStr">
        <is>
          <t>-</t>
        </is>
      </c>
      <c r="G20" s="4" t="n">
        <v>0</v>
      </c>
      <c r="I20" s="3" t="n"/>
      <c r="J20" s="3" t="inlineStr">
        <is>
          <t>-</t>
        </is>
      </c>
      <c r="K20" s="4" t="n">
        <v>0</v>
      </c>
      <c r="L20" s="2" t="n"/>
    </row>
    <row r="21">
      <c r="A21" s="2" t="inlineStr">
        <is>
          <t>S010102030000</t>
        </is>
      </c>
      <c r="B21" s="2" t="inlineStr">
        <is>
          <t>2.3.同业资产（不含拆放非银）</t>
        </is>
      </c>
      <c r="C21" s="3" t="inlineStr">
        <is>
          <t>是</t>
        </is>
      </c>
      <c r="D21" s="4" t="n">
        <v>248117663093.33</v>
      </c>
      <c r="E21" s="3" t="n"/>
      <c r="F21" s="3" t="inlineStr">
        <is>
          <t>-</t>
        </is>
      </c>
      <c r="G21" s="4" t="n">
        <v>0</v>
      </c>
      <c r="I21" s="3" t="n"/>
      <c r="J21" s="3" t="inlineStr">
        <is>
          <t>-</t>
        </is>
      </c>
      <c r="K21" s="4" t="n">
        <v>0</v>
      </c>
      <c r="L21" s="2" t="n"/>
    </row>
    <row r="22">
      <c r="A22" s="2" t="inlineStr">
        <is>
          <t>S010102040000</t>
        </is>
      </c>
      <c r="B22" s="2" t="inlineStr">
        <is>
          <t>2.4.存款准备金</t>
        </is>
      </c>
      <c r="C22" s="3" t="inlineStr">
        <is>
          <t>是</t>
        </is>
      </c>
      <c r="D22" s="4" t="n">
        <v>365354686534.56</v>
      </c>
      <c r="E22" s="3" t="n"/>
      <c r="F22" s="3" t="inlineStr">
        <is>
          <t>-</t>
        </is>
      </c>
      <c r="G22" s="4" t="n">
        <v>0</v>
      </c>
      <c r="I22" s="3" t="n"/>
      <c r="J22" s="3" t="inlineStr">
        <is>
          <t>-</t>
        </is>
      </c>
      <c r="K22" s="4" t="n">
        <v>0</v>
      </c>
      <c r="L22" s="2" t="n"/>
    </row>
    <row r="23">
      <c r="A23" s="2" t="inlineStr">
        <is>
          <t>S010103000000</t>
        </is>
      </c>
      <c r="B23" s="2" t="inlineStr">
        <is>
          <t>3.人民币非生息资产</t>
        </is>
      </c>
      <c r="C23" s="3" t="inlineStr">
        <is>
          <t>否</t>
        </is>
      </c>
      <c r="D23" s="4" t="n">
        <v>867778998074.61</v>
      </c>
      <c r="E23" s="3" t="n"/>
      <c r="F23" s="3" t="inlineStr">
        <is>
          <t>-</t>
        </is>
      </c>
      <c r="G23" s="4" t="n">
        <v>0</v>
      </c>
      <c r="I23" s="3" t="n"/>
      <c r="J23" s="3" t="inlineStr">
        <is>
          <t>-</t>
        </is>
      </c>
      <c r="K23" s="4" t="n">
        <v>0</v>
      </c>
      <c r="L23" s="2" t="n"/>
    </row>
    <row r="24">
      <c r="A24" s="2" t="inlineStr">
        <is>
          <t>S010103010000</t>
        </is>
      </c>
      <c r="B24" s="2" t="inlineStr">
        <is>
          <t>3.1.FVTPL类资产</t>
        </is>
      </c>
      <c r="C24" s="3" t="inlineStr">
        <is>
          <t>是</t>
        </is>
      </c>
      <c r="D24" s="4" t="n">
        <v>640262452968.54</v>
      </c>
      <c r="E24" s="3" t="n"/>
      <c r="F24" s="3" t="inlineStr">
        <is>
          <t>-</t>
        </is>
      </c>
      <c r="G24" s="4" t="n">
        <v>0</v>
      </c>
      <c r="I24" s="3" t="n"/>
      <c r="J24" s="3" t="inlineStr">
        <is>
          <t>-</t>
        </is>
      </c>
      <c r="K24" s="4" t="n">
        <v>0</v>
      </c>
      <c r="L24" s="2" t="n"/>
    </row>
    <row r="25">
      <c r="A25" s="2" t="inlineStr">
        <is>
          <t>S010103020000</t>
        </is>
      </c>
      <c r="B25" s="2" t="inlineStr">
        <is>
          <t>3.2.其他非生息资产</t>
        </is>
      </c>
      <c r="C25" s="3" t="inlineStr">
        <is>
          <t>否</t>
        </is>
      </c>
      <c r="D25" s="4" t="n">
        <v>227516545106.07</v>
      </c>
      <c r="E25" s="3" t="n"/>
      <c r="F25" s="3" t="inlineStr">
        <is>
          <t>-</t>
        </is>
      </c>
      <c r="G25" s="4" t="n">
        <v>0</v>
      </c>
      <c r="I25" s="3" t="n"/>
      <c r="J25" s="3" t="inlineStr">
        <is>
          <t>-</t>
        </is>
      </c>
      <c r="K25" s="4" t="n">
        <v>0</v>
      </c>
      <c r="L25" s="2" t="n"/>
    </row>
    <row r="26">
      <c r="A26" s="2" t="inlineStr">
        <is>
          <t>S010103020100</t>
        </is>
      </c>
      <c r="B26" s="2" t="inlineStr">
        <is>
          <t>3.2.1. 其中：现金</t>
        </is>
      </c>
      <c r="C26" s="3" t="inlineStr">
        <is>
          <t>是</t>
        </is>
      </c>
      <c r="D26" s="4" t="n">
        <v>127516545106</v>
      </c>
      <c r="E26" s="3" t="n"/>
      <c r="F26" s="3" t="inlineStr">
        <is>
          <t>-</t>
        </is>
      </c>
      <c r="G26" s="4" t="n">
        <v>0</v>
      </c>
      <c r="I26" s="3" t="n"/>
      <c r="J26" s="3" t="inlineStr">
        <is>
          <t>-</t>
        </is>
      </c>
      <c r="K26" s="4" t="n">
        <v>0</v>
      </c>
      <c r="L26" s="2" t="n"/>
    </row>
    <row r="27">
      <c r="A27" s="2" t="inlineStr">
        <is>
          <t>S010103020200</t>
        </is>
      </c>
      <c r="B27" s="2" t="inlineStr">
        <is>
          <t>3.2.2. 其中：其它</t>
        </is>
      </c>
      <c r="C27" s="3" t="inlineStr">
        <is>
          <t>是</t>
        </is>
      </c>
      <c r="D27" s="4" t="n">
        <v>100000000000</v>
      </c>
      <c r="E27" s="3" t="n"/>
      <c r="F27" s="3" t="inlineStr">
        <is>
          <t>-</t>
        </is>
      </c>
      <c r="G27" s="4" t="n">
        <v>0</v>
      </c>
      <c r="I27" s="3" t="n"/>
      <c r="J27" s="3" t="inlineStr">
        <is>
          <t>-</t>
        </is>
      </c>
      <c r="K27" s="4" t="n">
        <v>0</v>
      </c>
      <c r="L27" s="2" t="n"/>
    </row>
    <row r="28">
      <c r="A28" s="2" t="inlineStr">
        <is>
          <t>S010200000000</t>
        </is>
      </c>
      <c r="B28" s="2" t="inlineStr">
        <is>
          <t>（二）外币小计（人民币）</t>
        </is>
      </c>
      <c r="C28" s="3" t="inlineStr">
        <is>
          <t>否</t>
        </is>
      </c>
      <c r="D28" s="4" t="n"/>
      <c r="E28" s="3" t="n"/>
      <c r="F28" s="3" t="inlineStr">
        <is>
          <t>-</t>
        </is>
      </c>
      <c r="G28" s="4" t="n">
        <v>0</v>
      </c>
      <c r="I28" s="3" t="n"/>
      <c r="J28" s="3" t="inlineStr">
        <is>
          <t>-</t>
        </is>
      </c>
      <c r="K28" s="4" t="n">
        <v>0</v>
      </c>
      <c r="L28" s="2" t="n"/>
    </row>
    <row r="29">
      <c r="A29" s="2" t="inlineStr">
        <is>
          <t>S010201000000</t>
        </is>
      </c>
      <c r="B29" s="2" t="inlineStr">
        <is>
          <t>1.外币贷款</t>
        </is>
      </c>
      <c r="C29" s="3" t="inlineStr">
        <is>
          <t>是</t>
        </is>
      </c>
      <c r="D29" s="4" t="n">
        <v>80000000000</v>
      </c>
      <c r="E29" s="3" t="n"/>
      <c r="F29" s="3" t="inlineStr">
        <is>
          <t>-</t>
        </is>
      </c>
      <c r="G29" s="4" t="n">
        <v>0</v>
      </c>
      <c r="I29" s="3" t="n"/>
      <c r="J29" s="3" t="inlineStr">
        <is>
          <t>-</t>
        </is>
      </c>
      <c r="K29" s="4" t="n">
        <v>0</v>
      </c>
      <c r="L29" s="2" t="n"/>
    </row>
    <row r="30">
      <c r="A30" s="2" t="inlineStr">
        <is>
          <t>S010202000000</t>
        </is>
      </c>
      <c r="B30" s="2" t="inlineStr">
        <is>
          <t>2.外币非信贷资产</t>
        </is>
      </c>
      <c r="C30" s="3" t="inlineStr">
        <is>
          <t>否</t>
        </is>
      </c>
      <c r="D30" s="4" t="n"/>
      <c r="E30" s="3" t="n"/>
      <c r="F30" s="3" t="inlineStr">
        <is>
          <t>-</t>
        </is>
      </c>
      <c r="G30" s="4" t="n">
        <v>0</v>
      </c>
      <c r="I30" s="3" t="n"/>
      <c r="J30" s="3" t="inlineStr">
        <is>
          <t>-</t>
        </is>
      </c>
      <c r="K30" s="4" t="n">
        <v>0</v>
      </c>
      <c r="L30" s="2" t="n"/>
    </row>
    <row r="31">
      <c r="A31" s="2" t="inlineStr">
        <is>
          <t>S010202010000</t>
        </is>
      </c>
      <c r="B31" s="2" t="inlineStr">
        <is>
          <t>2.1.外币债券</t>
        </is>
      </c>
      <c r="C31" s="3" t="inlineStr">
        <is>
          <t>是</t>
        </is>
      </c>
      <c r="D31" s="4" t="n">
        <v>35000000000</v>
      </c>
      <c r="E31" s="3" t="n"/>
      <c r="F31" s="3" t="inlineStr">
        <is>
          <t>-</t>
        </is>
      </c>
      <c r="G31" s="4" t="n">
        <v>0</v>
      </c>
      <c r="I31" s="3" t="n"/>
      <c r="J31" s="3" t="inlineStr">
        <is>
          <t>-</t>
        </is>
      </c>
      <c r="K31" s="4" t="n">
        <v>0</v>
      </c>
      <c r="L31" s="2" t="n"/>
    </row>
    <row r="32">
      <c r="A32" s="2" t="inlineStr">
        <is>
          <t>S010202020000</t>
        </is>
      </c>
      <c r="B32" s="2" t="inlineStr">
        <is>
          <t>2.2.同业资产</t>
        </is>
      </c>
      <c r="C32" s="3" t="inlineStr">
        <is>
          <t>是</t>
        </is>
      </c>
      <c r="D32" s="4" t="n">
        <v>25000000000</v>
      </c>
      <c r="E32" s="3" t="n"/>
      <c r="F32" s="3" t="inlineStr">
        <is>
          <t>-</t>
        </is>
      </c>
      <c r="G32" s="4" t="n">
        <v>0</v>
      </c>
      <c r="I32" s="3" t="n"/>
      <c r="J32" s="3" t="inlineStr">
        <is>
          <t>-</t>
        </is>
      </c>
      <c r="K32" s="4" t="n">
        <v>0</v>
      </c>
      <c r="L32" s="2" t="n"/>
    </row>
    <row r="33">
      <c r="A33" s="2" t="inlineStr">
        <is>
          <t>S010203000000</t>
        </is>
      </c>
      <c r="B33" s="2" t="inlineStr">
        <is>
          <t>3.外币非生息资产</t>
        </is>
      </c>
      <c r="C33" s="3" t="inlineStr">
        <is>
          <t>是</t>
        </is>
      </c>
      <c r="D33" s="4" t="n">
        <v>10000000000</v>
      </c>
      <c r="E33" s="3" t="n"/>
      <c r="F33" s="3" t="inlineStr">
        <is>
          <t>-</t>
        </is>
      </c>
      <c r="G33" s="4" t="n">
        <v>0</v>
      </c>
      <c r="I33" s="3" t="n"/>
      <c r="J33" s="3" t="inlineStr">
        <is>
          <t>-</t>
        </is>
      </c>
      <c r="K33" s="4" t="n">
        <v>0</v>
      </c>
      <c r="L33" s="2" t="n"/>
    </row>
    <row r="34">
      <c r="A34" s="2" t="inlineStr">
        <is>
          <t>S020000000000</t>
        </is>
      </c>
      <c r="B34" s="2" t="inlineStr">
        <is>
          <t>总负债</t>
        </is>
      </c>
      <c r="C34" s="3" t="inlineStr">
        <is>
          <t>否</t>
        </is>
      </c>
      <c r="D34" s="4" t="n"/>
      <c r="E34" s="3" t="n"/>
      <c r="F34" s="3" t="inlineStr">
        <is>
          <t>-</t>
        </is>
      </c>
      <c r="G34" s="4" t="n">
        <v>0</v>
      </c>
      <c r="I34" s="3" t="n"/>
      <c r="J34" s="3" t="inlineStr">
        <is>
          <t>-</t>
        </is>
      </c>
      <c r="K34" s="4" t="n">
        <v>0</v>
      </c>
      <c r="L34" s="2" t="n"/>
    </row>
    <row r="35">
      <c r="A35" s="2" t="inlineStr">
        <is>
          <t>S020100000000</t>
        </is>
      </c>
      <c r="B35" s="2" t="inlineStr">
        <is>
          <t>（一）人民币小计</t>
        </is>
      </c>
      <c r="C35" s="3" t="inlineStr">
        <is>
          <t>否</t>
        </is>
      </c>
      <c r="D35" s="4" t="n"/>
      <c r="E35" s="3" t="n"/>
      <c r="F35" s="3" t="inlineStr">
        <is>
          <t>-</t>
        </is>
      </c>
      <c r="G35" s="4" t="n">
        <v>0</v>
      </c>
      <c r="I35" s="3" t="n"/>
      <c r="J35" s="3" t="inlineStr">
        <is>
          <t>-</t>
        </is>
      </c>
      <c r="K35" s="4" t="n">
        <v>0</v>
      </c>
      <c r="L35" s="2" t="n"/>
    </row>
    <row r="36">
      <c r="A36" s="2" t="inlineStr">
        <is>
          <t>S020101000000</t>
        </is>
      </c>
      <c r="B36" s="2" t="inlineStr">
        <is>
          <t>1.境内人民币自营存款</t>
        </is>
      </c>
      <c r="C36" s="3" t="inlineStr">
        <is>
          <t>否</t>
        </is>
      </c>
      <c r="D36" s="4" t="n"/>
      <c r="E36" s="3" t="n"/>
      <c r="F36" s="3" t="inlineStr">
        <is>
          <t>-</t>
        </is>
      </c>
      <c r="G36" s="4" t="n">
        <v>0</v>
      </c>
      <c r="I36" s="3" t="n"/>
      <c r="J36" s="3" t="inlineStr">
        <is>
          <t>-</t>
        </is>
      </c>
      <c r="K36" s="4" t="n">
        <v>0</v>
      </c>
      <c r="L36" s="2" t="n"/>
    </row>
    <row r="37">
      <c r="A37" s="2" t="inlineStr">
        <is>
          <t>S020101010000</t>
        </is>
      </c>
      <c r="B37" s="2" t="inlineStr">
        <is>
          <t>1.1.对公存款</t>
        </is>
      </c>
      <c r="C37" s="3" t="inlineStr">
        <is>
          <t>否</t>
        </is>
      </c>
      <c r="D37" s="4" t="n">
        <v>4222682106931.64</v>
      </c>
      <c r="E37" s="3" t="n"/>
      <c r="F37" s="3" t="inlineStr">
        <is>
          <t>-</t>
        </is>
      </c>
      <c r="G37" s="4" t="n">
        <v>0</v>
      </c>
      <c r="I37" s="3" t="n"/>
      <c r="J37" s="3" t="inlineStr">
        <is>
          <t>-</t>
        </is>
      </c>
      <c r="K37" s="4" t="n">
        <v>0</v>
      </c>
      <c r="L37" s="2" t="n"/>
    </row>
    <row r="38">
      <c r="A38" s="2" t="inlineStr">
        <is>
          <t>S020101010100</t>
        </is>
      </c>
      <c r="B38" s="2" t="inlineStr">
        <is>
          <t>1.1.1对公活期存款</t>
        </is>
      </c>
      <c r="C38" s="3" t="inlineStr">
        <is>
          <t>是</t>
        </is>
      </c>
      <c r="D38" s="4" t="n">
        <v>2486212417437.03</v>
      </c>
      <c r="E38" s="3" t="n"/>
      <c r="F38" s="3" t="inlineStr">
        <is>
          <t>-</t>
        </is>
      </c>
      <c r="G38" s="4" t="n">
        <v>0</v>
      </c>
      <c r="I38" s="3" t="n"/>
      <c r="J38" s="3" t="inlineStr">
        <is>
          <t>-</t>
        </is>
      </c>
      <c r="K38" s="4" t="n">
        <v>0</v>
      </c>
      <c r="L38" s="2" t="n"/>
    </row>
    <row r="39">
      <c r="A39" s="2" t="inlineStr">
        <is>
          <t>S020101010200</t>
        </is>
      </c>
      <c r="B39" s="2" t="inlineStr">
        <is>
          <t>1.1.2对公定期存款</t>
        </is>
      </c>
      <c r="C39" s="3" t="inlineStr">
        <is>
          <t>是</t>
        </is>
      </c>
      <c r="D39" s="4" t="n">
        <v>1736469689494.61</v>
      </c>
      <c r="E39" s="3" t="n"/>
      <c r="F39" s="3" t="inlineStr">
        <is>
          <t>-</t>
        </is>
      </c>
      <c r="G39" s="4" t="n">
        <v>0</v>
      </c>
      <c r="I39" s="3" t="n"/>
      <c r="J39" s="3" t="inlineStr">
        <is>
          <t>-</t>
        </is>
      </c>
      <c r="K39" s="4" t="n">
        <v>0</v>
      </c>
      <c r="L39" s="2" t="n"/>
    </row>
    <row r="40">
      <c r="A40" s="2" t="inlineStr">
        <is>
          <t>S020101020000</t>
        </is>
      </c>
      <c r="B40" s="2" t="inlineStr">
        <is>
          <t>1.2.零售存款</t>
        </is>
      </c>
      <c r="C40" s="3" t="inlineStr">
        <is>
          <t>否</t>
        </is>
      </c>
      <c r="D40" s="4" t="n">
        <v>2169431482604.05</v>
      </c>
      <c r="E40" s="3" t="n"/>
      <c r="F40" s="3" t="inlineStr">
        <is>
          <t>-</t>
        </is>
      </c>
      <c r="G40" s="4" t="n">
        <v>0</v>
      </c>
      <c r="I40" s="3" t="n"/>
      <c r="J40" s="3" t="inlineStr">
        <is>
          <t>-</t>
        </is>
      </c>
      <c r="K40" s="4" t="n">
        <v>0</v>
      </c>
      <c r="L40" s="2" t="n"/>
    </row>
    <row r="41">
      <c r="A41" s="2" t="inlineStr">
        <is>
          <t>S020101020100</t>
        </is>
      </c>
      <c r="B41" s="2" t="inlineStr">
        <is>
          <t>1.2.1零售活期存款</t>
        </is>
      </c>
      <c r="C41" s="3" t="inlineStr">
        <is>
          <t>是</t>
        </is>
      </c>
      <c r="D41" s="4" t="n">
        <v>434867199487.65</v>
      </c>
      <c r="E41" s="3" t="n"/>
      <c r="F41" s="3" t="inlineStr">
        <is>
          <t>-</t>
        </is>
      </c>
      <c r="G41" s="4" t="n">
        <v>0</v>
      </c>
      <c r="I41" s="3" t="n"/>
      <c r="J41" s="3" t="inlineStr">
        <is>
          <t>-</t>
        </is>
      </c>
      <c r="K41" s="4" t="n">
        <v>0</v>
      </c>
      <c r="L41" s="2" t="n"/>
    </row>
    <row r="42">
      <c r="A42" s="2" t="inlineStr">
        <is>
          <t>S020101020200</t>
        </is>
      </c>
      <c r="B42" s="2" t="inlineStr">
        <is>
          <t>1.2.2零售定期存款</t>
        </is>
      </c>
      <c r="C42" s="3" t="inlineStr">
        <is>
          <t>是</t>
        </is>
      </c>
      <c r="D42" s="4" t="n">
        <v>1734564283116.4</v>
      </c>
      <c r="E42" s="3" t="n"/>
      <c r="F42" s="3" t="inlineStr">
        <is>
          <t>-</t>
        </is>
      </c>
      <c r="G42" s="4" t="n">
        <v>0</v>
      </c>
      <c r="I42" s="3" t="n"/>
      <c r="J42" s="3" t="inlineStr">
        <is>
          <t>-</t>
        </is>
      </c>
      <c r="K42" s="4" t="n">
        <v>0</v>
      </c>
      <c r="L42" s="2" t="n"/>
    </row>
    <row r="43">
      <c r="A43" s="2" t="inlineStr">
        <is>
          <t>S020102000000</t>
        </is>
      </c>
      <c r="B43" s="2" t="inlineStr">
        <is>
          <t>2.人民币市场化负债</t>
        </is>
      </c>
      <c r="C43" s="3" t="inlineStr">
        <is>
          <t>否</t>
        </is>
      </c>
      <c r="D43" s="4" t="n"/>
      <c r="E43" s="3" t="n"/>
      <c r="F43" s="3" t="inlineStr">
        <is>
          <t>-</t>
        </is>
      </c>
      <c r="G43" s="4" t="n">
        <v>0</v>
      </c>
      <c r="I43" s="3" t="n"/>
      <c r="J43" s="3" t="inlineStr">
        <is>
          <t>-</t>
        </is>
      </c>
      <c r="K43" s="4" t="n">
        <v>0</v>
      </c>
      <c r="L43" s="2" t="n"/>
    </row>
    <row r="44">
      <c r="A44" s="2" t="inlineStr">
        <is>
          <t>S020102010000</t>
        </is>
      </c>
      <c r="B44" s="2" t="inlineStr">
        <is>
          <t>2.2.1同业负债</t>
        </is>
      </c>
      <c r="C44" s="3" t="inlineStr">
        <is>
          <t>否</t>
        </is>
      </c>
      <c r="D44" s="4" t="n"/>
      <c r="E44" s="3" t="n"/>
      <c r="F44" s="3" t="inlineStr">
        <is>
          <t>-</t>
        </is>
      </c>
      <c r="G44" s="4" t="n">
        <v>0</v>
      </c>
      <c r="I44" s="3" t="n"/>
      <c r="J44" s="3" t="inlineStr">
        <is>
          <t>-</t>
        </is>
      </c>
      <c r="K44" s="4" t="n">
        <v>0</v>
      </c>
      <c r="L44" s="2" t="n"/>
    </row>
    <row r="45">
      <c r="A45" s="2" t="inlineStr">
        <is>
          <t>S020102010100</t>
        </is>
      </c>
      <c r="B45" s="2" t="inlineStr">
        <is>
          <t>2.2.1.1货币市场同业拆入</t>
        </is>
      </c>
      <c r="C45" s="3" t="inlineStr">
        <is>
          <t>是</t>
        </is>
      </c>
      <c r="D45" s="4" t="n">
        <v>32988348999.99</v>
      </c>
      <c r="E45" s="3" t="n"/>
      <c r="F45" s="3" t="inlineStr">
        <is>
          <t>-</t>
        </is>
      </c>
      <c r="G45" s="4" t="n">
        <v>0</v>
      </c>
      <c r="I45" s="3" t="n"/>
      <c r="J45" s="3" t="inlineStr">
        <is>
          <t>-</t>
        </is>
      </c>
      <c r="K45" s="4" t="n">
        <v>0</v>
      </c>
      <c r="L45" s="2" t="n"/>
    </row>
    <row r="46">
      <c r="A46" s="2" t="inlineStr">
        <is>
          <t>S020102010200</t>
        </is>
      </c>
      <c r="B46" s="2" t="inlineStr">
        <is>
          <t>2.2.1.2货币市场债券回购</t>
        </is>
      </c>
      <c r="C46" s="3" t="inlineStr">
        <is>
          <t>是</t>
        </is>
      </c>
      <c r="D46" s="4" t="n">
        <v>95875096000</v>
      </c>
      <c r="E46" s="3" t="n"/>
      <c r="F46" s="3" t="inlineStr">
        <is>
          <t>-</t>
        </is>
      </c>
      <c r="G46" s="4" t="n">
        <v>0</v>
      </c>
      <c r="I46" s="3" t="n"/>
      <c r="J46" s="3" t="inlineStr">
        <is>
          <t>-</t>
        </is>
      </c>
      <c r="K46" s="4" t="n">
        <v>0</v>
      </c>
      <c r="L46" s="2" t="n"/>
    </row>
    <row r="47">
      <c r="A47" s="2" t="inlineStr">
        <is>
          <t>S020102010300</t>
        </is>
      </c>
      <c r="B47" s="2" t="inlineStr">
        <is>
          <t>2.2.1.3同业存单（NCD）</t>
        </is>
      </c>
      <c r="C47" s="3" t="inlineStr">
        <is>
          <t>是</t>
        </is>
      </c>
      <c r="D47" s="4" t="n">
        <v>932237942418.6899</v>
      </c>
      <c r="E47" s="3" t="n"/>
      <c r="F47" s="3" t="inlineStr">
        <is>
          <t>-</t>
        </is>
      </c>
      <c r="G47" s="4" t="n">
        <v>0</v>
      </c>
      <c r="I47" s="3" t="n"/>
      <c r="J47" s="3" t="inlineStr">
        <is>
          <t>-</t>
        </is>
      </c>
      <c r="K47" s="4" t="n">
        <v>0</v>
      </c>
      <c r="L47" s="2" t="n"/>
    </row>
    <row r="48">
      <c r="A48" s="2" t="inlineStr">
        <is>
          <t>S020102010400</t>
        </is>
      </c>
      <c r="B48" s="2" t="inlineStr">
        <is>
          <t>2.2.1.4同业存款</t>
        </is>
      </c>
      <c r="C48" s="3" t="inlineStr">
        <is>
          <t>是</t>
        </is>
      </c>
      <c r="D48" s="4" t="n">
        <v>915605054241.89</v>
      </c>
      <c r="E48" s="3" t="n"/>
      <c r="F48" s="3" t="inlineStr">
        <is>
          <t>-</t>
        </is>
      </c>
      <c r="G48" s="4" t="n">
        <v>0</v>
      </c>
      <c r="I48" s="3" t="n"/>
      <c r="J48" s="3" t="inlineStr">
        <is>
          <t>-</t>
        </is>
      </c>
      <c r="K48" s="4" t="n">
        <v>0</v>
      </c>
      <c r="L48" s="2" t="n"/>
    </row>
    <row r="49">
      <c r="A49" s="2" t="inlineStr">
        <is>
          <t>S020102010500</t>
        </is>
      </c>
      <c r="B49" s="2" t="inlineStr">
        <is>
          <t>2.2.1.5票据转贴现回购</t>
        </is>
      </c>
      <c r="C49" s="3" t="inlineStr">
        <is>
          <t>是</t>
        </is>
      </c>
      <c r="D49" s="4" t="n">
        <v>1000000000</v>
      </c>
      <c r="E49" s="3" t="n"/>
      <c r="F49" s="3" t="inlineStr">
        <is>
          <t>-</t>
        </is>
      </c>
      <c r="G49" s="4" t="n">
        <v>0</v>
      </c>
      <c r="I49" s="3" t="n"/>
      <c r="J49" s="3" t="inlineStr">
        <is>
          <t>-</t>
        </is>
      </c>
      <c r="K49" s="4" t="n">
        <v>0</v>
      </c>
      <c r="L49" s="2" t="n"/>
    </row>
    <row r="50">
      <c r="A50" s="2" t="inlineStr">
        <is>
          <t>S020102020000</t>
        </is>
      </c>
      <c r="B50" s="2" t="inlineStr">
        <is>
          <t>2.2.2央行借款</t>
        </is>
      </c>
      <c r="C50" s="3" t="inlineStr">
        <is>
          <t>否</t>
        </is>
      </c>
      <c r="D50" s="4" t="n"/>
      <c r="E50" s="3" t="n"/>
      <c r="F50" s="3" t="inlineStr">
        <is>
          <t>-</t>
        </is>
      </c>
      <c r="G50" s="4" t="n">
        <v>0</v>
      </c>
      <c r="I50" s="3" t="n"/>
      <c r="J50" s="3" t="inlineStr">
        <is>
          <t>-</t>
        </is>
      </c>
      <c r="K50" s="4" t="n">
        <v>0</v>
      </c>
      <c r="L50" s="2" t="n"/>
    </row>
    <row r="51">
      <c r="A51" s="2" t="inlineStr">
        <is>
          <t>S020102020100</t>
        </is>
      </c>
      <c r="B51" s="2" t="inlineStr">
        <is>
          <t>2.2.2.1公开市场回购</t>
        </is>
      </c>
      <c r="C51" s="3" t="inlineStr">
        <is>
          <t>是</t>
        </is>
      </c>
      <c r="D51" s="4" t="n">
        <v>353887790000</v>
      </c>
      <c r="E51" s="3" t="n"/>
      <c r="F51" s="3" t="inlineStr">
        <is>
          <t>-</t>
        </is>
      </c>
      <c r="G51" s="4" t="n">
        <v>0</v>
      </c>
      <c r="I51" s="3" t="n"/>
      <c r="J51" s="3" t="inlineStr">
        <is>
          <t>-</t>
        </is>
      </c>
      <c r="K51" s="4" t="n">
        <v>0</v>
      </c>
      <c r="L51" s="2" t="n"/>
    </row>
    <row r="52">
      <c r="A52" s="2" t="inlineStr">
        <is>
          <t>S020102020200</t>
        </is>
      </c>
      <c r="B52" s="2" t="inlineStr">
        <is>
          <t>2.2.2.2中期借贷便利（MLF）</t>
        </is>
      </c>
      <c r="C52" s="3" t="inlineStr">
        <is>
          <t>是</t>
        </is>
      </c>
      <c r="D52" s="4" t="n">
        <v>160370000000</v>
      </c>
      <c r="E52" s="3" t="n"/>
      <c r="F52" s="3" t="inlineStr">
        <is>
          <t>-</t>
        </is>
      </c>
      <c r="G52" s="4" t="n">
        <v>0</v>
      </c>
      <c r="I52" s="3" t="n"/>
      <c r="J52" s="3" t="inlineStr">
        <is>
          <t>-</t>
        </is>
      </c>
      <c r="K52" s="4" t="n">
        <v>0</v>
      </c>
      <c r="L52" s="2" t="n"/>
    </row>
    <row r="53">
      <c r="A53" s="2" t="inlineStr">
        <is>
          <t>S020102020300</t>
        </is>
      </c>
      <c r="B53" s="2" t="inlineStr">
        <is>
          <t>2.2.2.3结构性货币政策工具</t>
        </is>
      </c>
      <c r="C53" s="3" t="inlineStr">
        <is>
          <t>是</t>
        </is>
      </c>
      <c r="D53" s="4" t="n">
        <v>42212093203.19</v>
      </c>
      <c r="E53" s="3" t="n"/>
      <c r="F53" s="3" t="inlineStr">
        <is>
          <t>-</t>
        </is>
      </c>
      <c r="G53" s="4" t="n">
        <v>0</v>
      </c>
      <c r="I53" s="3" t="n"/>
      <c r="J53" s="3" t="inlineStr">
        <is>
          <t>-</t>
        </is>
      </c>
      <c r="K53" s="4" t="n">
        <v>0</v>
      </c>
      <c r="L53" s="2" t="n"/>
    </row>
    <row r="54">
      <c r="A54" s="2" t="inlineStr">
        <is>
          <t>S020102020400</t>
        </is>
      </c>
      <c r="B54" s="2" t="inlineStr">
        <is>
          <t>2.2.2.4票据再贴现回购</t>
        </is>
      </c>
      <c r="C54" s="3" t="inlineStr">
        <is>
          <t>是</t>
        </is>
      </c>
      <c r="D54" s="4" t="n">
        <v>1525214781.84</v>
      </c>
      <c r="E54" s="3" t="n"/>
      <c r="F54" s="3" t="inlineStr">
        <is>
          <t>-</t>
        </is>
      </c>
      <c r="G54" s="4" t="n">
        <v>0</v>
      </c>
      <c r="I54" s="3" t="n"/>
      <c r="J54" s="3" t="inlineStr">
        <is>
          <t>-</t>
        </is>
      </c>
      <c r="K54" s="4" t="n">
        <v>0</v>
      </c>
      <c r="L54" s="2" t="n"/>
    </row>
    <row r="55">
      <c r="A55" s="2" t="inlineStr">
        <is>
          <t>S020200000000</t>
        </is>
      </c>
      <c r="B55" s="2" t="inlineStr">
        <is>
          <t>（二）外币小计（人民币）</t>
        </is>
      </c>
      <c r="C55" s="3" t="inlineStr">
        <is>
          <t>否</t>
        </is>
      </c>
      <c r="D55" s="4" t="n"/>
      <c r="E55" s="3" t="n"/>
      <c r="F55" s="3" t="inlineStr">
        <is>
          <t>-</t>
        </is>
      </c>
      <c r="G55" s="4" t="n">
        <v>0</v>
      </c>
      <c r="I55" s="3" t="n"/>
      <c r="J55" s="3" t="inlineStr">
        <is>
          <t>-</t>
        </is>
      </c>
      <c r="K55" s="4" t="n">
        <v>0</v>
      </c>
      <c r="L55" s="2" t="n"/>
    </row>
    <row r="56">
      <c r="A56" s="2" t="inlineStr">
        <is>
          <t>S020201000000</t>
        </is>
      </c>
      <c r="B56" s="2" t="inlineStr">
        <is>
          <t>1.外币存款</t>
        </is>
      </c>
      <c r="C56" s="3" t="inlineStr">
        <is>
          <t>是</t>
        </is>
      </c>
      <c r="D56" s="4" t="n">
        <v>150000000000</v>
      </c>
      <c r="E56" s="3" t="n"/>
      <c r="F56" s="3" t="inlineStr">
        <is>
          <t>-</t>
        </is>
      </c>
      <c r="G56" s="4" t="n">
        <v>0</v>
      </c>
      <c r="I56" s="3" t="n"/>
      <c r="J56" s="3" t="inlineStr">
        <is>
          <t>-</t>
        </is>
      </c>
      <c r="K56" s="4" t="n">
        <v>0</v>
      </c>
      <c r="L56" s="2" t="n"/>
    </row>
    <row r="57">
      <c r="A57" s="2" t="inlineStr">
        <is>
          <t>S020202000000</t>
        </is>
      </c>
      <c r="B57" s="2" t="inlineStr">
        <is>
          <t>2.外币市场化负债</t>
        </is>
      </c>
      <c r="C57" s="3" t="inlineStr">
        <is>
          <t>是</t>
        </is>
      </c>
      <c r="D57" s="4" t="n">
        <v>80000000000</v>
      </c>
      <c r="E57" s="3" t="n"/>
      <c r="F57" s="3" t="inlineStr">
        <is>
          <t>-</t>
        </is>
      </c>
      <c r="G57" s="4" t="n">
        <v>0</v>
      </c>
      <c r="I57" s="3" t="n"/>
      <c r="J57" s="3" t="inlineStr">
        <is>
          <t>-</t>
        </is>
      </c>
      <c r="K57" s="4" t="n">
        <v>0</v>
      </c>
      <c r="L57" s="2" t="n"/>
    </row>
    <row r="58">
      <c r="A58" s="5" t="inlineStr">
        <is>
          <t>S030000000000</t>
        </is>
      </c>
      <c r="B58" s="5" t="inlineStr">
        <is>
          <t>所有者权益</t>
        </is>
      </c>
      <c r="C58" s="6" t="inlineStr">
        <is>
          <t>是</t>
        </is>
      </c>
      <c r="D58" s="7" t="n">
        <v>786217000000</v>
      </c>
      <c r="E58" s="6" t="n"/>
      <c r="F58" s="6" t="inlineStr">
        <is>
          <t>-</t>
        </is>
      </c>
      <c r="G58" s="7" t="n">
        <v>0</v>
      </c>
      <c r="H58" s="8" t="n"/>
      <c r="I58" s="6" t="n"/>
      <c r="J58" s="6" t="inlineStr">
        <is>
          <t>-</t>
        </is>
      </c>
      <c r="K58" s="7" t="n">
        <v>0</v>
      </c>
      <c r="L58" s="5" t="n"/>
    </row>
    <row r="59">
      <c r="A59" s="5" t="inlineStr">
        <is>
          <t>S040000000000</t>
        </is>
      </c>
      <c r="B59" s="5" t="inlineStr">
        <is>
          <t>【一】营业收入</t>
        </is>
      </c>
      <c r="C59" s="6" t="inlineStr">
        <is>
          <t>否</t>
        </is>
      </c>
      <c r="D59" s="7" t="n"/>
      <c r="E59" s="6" t="n"/>
      <c r="F59" s="6" t="inlineStr">
        <is>
          <t>-</t>
        </is>
      </c>
      <c r="G59" s="7" t="n">
        <v>0</v>
      </c>
      <c r="H59" s="8" t="n"/>
      <c r="I59" s="6" t="n"/>
      <c r="J59" s="6" t="inlineStr">
        <is>
          <t>-</t>
        </is>
      </c>
      <c r="K59" s="7" t="n">
        <v>0</v>
      </c>
      <c r="L59" s="5" t="n"/>
    </row>
    <row r="60">
      <c r="A60" s="5" t="inlineStr">
        <is>
          <t>S040101000000</t>
        </is>
      </c>
      <c r="B60" s="5" t="inlineStr">
        <is>
          <t>1.利息净收入</t>
        </is>
      </c>
      <c r="C60" s="6" t="inlineStr">
        <is>
          <t>是</t>
        </is>
      </c>
      <c r="D60" s="7" t="n">
        <v>156000000000</v>
      </c>
      <c r="E60" s="6" t="inlineStr">
        <is>
          <t>是</t>
        </is>
      </c>
      <c r="F60" s="6" t="n">
        <v>1</v>
      </c>
      <c r="G60" s="9">
        <f>IF(E60="是",D60*G60,0)</f>
        <v/>
      </c>
      <c r="H60" s="8" t="n"/>
      <c r="I60" s="6" t="inlineStr">
        <is>
          <t>否</t>
        </is>
      </c>
      <c r="J60" s="6" t="inlineStr">
        <is>
          <t>-</t>
        </is>
      </c>
      <c r="K60" s="7" t="n">
        <v>0</v>
      </c>
      <c r="L60" s="5" t="inlineStr">
        <is>
          <t>利息净收入 计入净利润 +1</t>
        </is>
      </c>
    </row>
    <row r="61">
      <c r="A61" s="5" t="inlineStr">
        <is>
          <t>S040102000000</t>
        </is>
      </c>
      <c r="B61" s="5" t="inlineStr">
        <is>
          <t>2.手续费及佣金净收入</t>
        </is>
      </c>
      <c r="C61" s="6" t="inlineStr">
        <is>
          <t>是</t>
        </is>
      </c>
      <c r="D61" s="7" t="n">
        <v>380000000000</v>
      </c>
      <c r="E61" s="6" t="inlineStr">
        <is>
          <t>是</t>
        </is>
      </c>
      <c r="F61" s="6" t="n">
        <v>1</v>
      </c>
      <c r="G61" s="9">
        <f>IF(E61="是",D61*G61,0)</f>
        <v/>
      </c>
      <c r="H61" s="8" t="n"/>
      <c r="I61" s="6" t="inlineStr">
        <is>
          <t>否</t>
        </is>
      </c>
      <c r="J61" s="6" t="inlineStr">
        <is>
          <t>-</t>
        </is>
      </c>
      <c r="K61" s="7" t="n">
        <v>0</v>
      </c>
      <c r="L61" s="5" t="inlineStr">
        <is>
          <t>手续费及佣金净收入 计入净利润 +1</t>
        </is>
      </c>
    </row>
    <row r="62">
      <c r="A62" s="5" t="inlineStr">
        <is>
          <t>S040103000000</t>
        </is>
      </c>
      <c r="B62" s="5" t="inlineStr">
        <is>
          <t>3.投资收益</t>
        </is>
      </c>
      <c r="C62" s="6" t="inlineStr">
        <is>
          <t>是</t>
        </is>
      </c>
      <c r="D62" s="7" t="n">
        <v>54000000000</v>
      </c>
      <c r="E62" s="6" t="inlineStr">
        <is>
          <t>是</t>
        </is>
      </c>
      <c r="F62" s="6" t="n">
        <v>1</v>
      </c>
      <c r="G62" s="9">
        <f>IF(E62="是",D62*G62,0)</f>
        <v/>
      </c>
      <c r="H62" s="8" t="n"/>
      <c r="I62" s="6" t="inlineStr">
        <is>
          <t>否</t>
        </is>
      </c>
      <c r="J62" s="6" t="inlineStr">
        <is>
          <t>-</t>
        </is>
      </c>
      <c r="K62" s="7" t="n">
        <v>0</v>
      </c>
      <c r="L62" s="5" t="inlineStr">
        <is>
          <t>投资收益 计入净利润 +1</t>
        </is>
      </c>
    </row>
    <row r="63">
      <c r="A63" s="5" t="inlineStr">
        <is>
          <t>S040104000000</t>
        </is>
      </c>
      <c r="B63" s="5" t="inlineStr">
        <is>
          <t>4.其他业务收入</t>
        </is>
      </c>
      <c r="C63" s="6" t="inlineStr">
        <is>
          <t>是</t>
        </is>
      </c>
      <c r="D63" s="7" t="n">
        <v>90000000000</v>
      </c>
      <c r="E63" s="6" t="inlineStr">
        <is>
          <t>是</t>
        </is>
      </c>
      <c r="F63" s="6" t="n">
        <v>1</v>
      </c>
      <c r="G63" s="9">
        <f>IF(E63="是",D63*G63,0)</f>
        <v/>
      </c>
      <c r="H63" s="8" t="n"/>
      <c r="I63" s="6" t="inlineStr">
        <is>
          <t>否</t>
        </is>
      </c>
      <c r="J63" s="6" t="inlineStr">
        <is>
          <t>-</t>
        </is>
      </c>
      <c r="K63" s="7" t="n">
        <v>0</v>
      </c>
      <c r="L63" s="5" t="inlineStr">
        <is>
          <t>其他业务收入 计入净利润 +1</t>
        </is>
      </c>
    </row>
    <row r="64">
      <c r="A64" s="5" t="inlineStr">
        <is>
          <t>S040200000000</t>
        </is>
      </c>
      <c r="B64" s="5" t="inlineStr">
        <is>
          <t>【二】营业支出</t>
        </is>
      </c>
      <c r="C64" s="6" t="inlineStr">
        <is>
          <t>否</t>
        </is>
      </c>
      <c r="D64" s="7" t="n"/>
      <c r="E64" s="6" t="n"/>
      <c r="F64" s="6" t="inlineStr">
        <is>
          <t>-</t>
        </is>
      </c>
      <c r="G64" s="7" t="n">
        <v>0</v>
      </c>
      <c r="H64" s="8" t="n"/>
      <c r="I64" s="6" t="n"/>
      <c r="J64" s="6" t="inlineStr">
        <is>
          <t>-</t>
        </is>
      </c>
      <c r="K64" s="7" t="n">
        <v>0</v>
      </c>
      <c r="L64" s="5" t="inlineStr">
        <is>
          <t>【二】营业支出 汇总节点（不直接计入）</t>
        </is>
      </c>
    </row>
    <row r="65">
      <c r="A65" s="5" t="inlineStr">
        <is>
          <t>S040201000000</t>
        </is>
      </c>
      <c r="B65" s="5" t="inlineStr">
        <is>
          <t>1.业务及管理费</t>
        </is>
      </c>
      <c r="C65" s="6" t="inlineStr">
        <is>
          <t>是</t>
        </is>
      </c>
      <c r="D65" s="7" t="n">
        <v>-660000000000</v>
      </c>
      <c r="E65" s="6" t="inlineStr">
        <is>
          <t>是</t>
        </is>
      </c>
      <c r="F65" s="6" t="n">
        <v>-1</v>
      </c>
      <c r="G65" s="9">
        <f>IF(E65="是",D65*G65,0)</f>
        <v/>
      </c>
      <c r="H65" s="8" t="n"/>
      <c r="I65" s="6" t="inlineStr">
        <is>
          <t>否</t>
        </is>
      </c>
      <c r="J65" s="6" t="inlineStr">
        <is>
          <t>-</t>
        </is>
      </c>
      <c r="K65" s="7" t="n">
        <v>0</v>
      </c>
      <c r="L65" s="5" t="inlineStr">
        <is>
          <t>业务及管理费 计入净利润 -1</t>
        </is>
      </c>
    </row>
    <row r="66">
      <c r="A66" s="5" t="inlineStr">
        <is>
          <t>S040202000000</t>
        </is>
      </c>
      <c r="B66" s="5" t="inlineStr">
        <is>
          <t>2.资产减值损失</t>
        </is>
      </c>
      <c r="C66" s="6" t="inlineStr">
        <is>
          <t>是</t>
        </is>
      </c>
      <c r="D66" s="7" t="n">
        <v>-370000000000</v>
      </c>
      <c r="E66" s="6" t="inlineStr">
        <is>
          <t>是</t>
        </is>
      </c>
      <c r="F66" s="6" t="n">
        <v>-1</v>
      </c>
      <c r="G66" s="9">
        <f>IF(E66="是",D66*G66,0)</f>
        <v/>
      </c>
      <c r="H66" s="8" t="n"/>
      <c r="I66" s="6" t="inlineStr">
        <is>
          <t>否</t>
        </is>
      </c>
      <c r="J66" s="6" t="inlineStr">
        <is>
          <t>-</t>
        </is>
      </c>
      <c r="K66" s="7" t="n">
        <v>0</v>
      </c>
      <c r="L66" s="5" t="inlineStr">
        <is>
          <t>资产减值损失 计入净利润 -1</t>
        </is>
      </c>
    </row>
    <row r="67">
      <c r="A67" s="5" t="inlineStr">
        <is>
          <t>S040203000000</t>
        </is>
      </c>
      <c r="B67" s="5" t="inlineStr">
        <is>
          <t>3.其他业务支出</t>
        </is>
      </c>
      <c r="C67" s="6" t="inlineStr">
        <is>
          <t>是</t>
        </is>
      </c>
      <c r="D67" s="7" t="n">
        <v>-100000000000</v>
      </c>
      <c r="E67" s="6" t="inlineStr">
        <is>
          <t>是</t>
        </is>
      </c>
      <c r="F67" s="6" t="n">
        <v>-1</v>
      </c>
      <c r="G67" s="9">
        <f>IF(E67="是",D67*G67,0)</f>
        <v/>
      </c>
      <c r="H67" s="8" t="n"/>
      <c r="I67" s="6" t="inlineStr">
        <is>
          <t>否</t>
        </is>
      </c>
      <c r="J67" s="6" t="inlineStr">
        <is>
          <t>-</t>
        </is>
      </c>
      <c r="K67" s="7" t="n">
        <v>0</v>
      </c>
      <c r="L67" s="5" t="inlineStr">
        <is>
          <t>其他业务支出 计入净利润 -1</t>
        </is>
      </c>
    </row>
    <row r="68">
      <c r="A68" s="5" t="inlineStr">
        <is>
          <t>S040300000000</t>
        </is>
      </c>
      <c r="B68" s="5" t="inlineStr">
        <is>
          <t>【三】营业外收支净额</t>
        </is>
      </c>
      <c r="C68" s="6" t="inlineStr">
        <is>
          <t>是</t>
        </is>
      </c>
      <c r="D68" s="7" t="n">
        <v>30000000000</v>
      </c>
      <c r="E68" s="6" t="inlineStr">
        <is>
          <t>是</t>
        </is>
      </c>
      <c r="F68" s="6" t="n">
        <v>1</v>
      </c>
      <c r="G68" s="9">
        <f>IF(E68="是",D68*G68,0)</f>
        <v/>
      </c>
      <c r="H68" s="8" t="n"/>
      <c r="I68" s="6" t="inlineStr">
        <is>
          <t>否</t>
        </is>
      </c>
      <c r="J68" s="6" t="inlineStr">
        <is>
          <t>-</t>
        </is>
      </c>
      <c r="K68" s="7" t="n">
        <v>0</v>
      </c>
      <c r="L68" s="5" t="inlineStr">
        <is>
          <t>营业外收支净额 计入净利润 +1</t>
        </is>
      </c>
    </row>
    <row r="69">
      <c r="A69" s="2" t="inlineStr">
        <is>
          <t>S040400000000</t>
        </is>
      </c>
      <c r="B69" s="2" t="inlineStr">
        <is>
          <t>【四】所得税</t>
        </is>
      </c>
      <c r="C69" s="3" t="inlineStr">
        <is>
          <t>是</t>
        </is>
      </c>
      <c r="D69" s="4" t="n">
        <v>-246000000000</v>
      </c>
      <c r="E69" s="3" t="inlineStr">
        <is>
          <t>是</t>
        </is>
      </c>
      <c r="F69" s="3" t="n">
        <v>-1</v>
      </c>
      <c r="G69" s="10">
        <f>IF(E69="是",D69*G69,0)</f>
        <v/>
      </c>
      <c r="I69" s="3" t="inlineStr">
        <is>
          <t>否</t>
        </is>
      </c>
      <c r="J69" s="3" t="inlineStr">
        <is>
          <t>-</t>
        </is>
      </c>
      <c r="K69" s="4" t="n">
        <v>0</v>
      </c>
      <c r="L69" s="2" t="inlineStr">
        <is>
          <t>所得税 计入净利润 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2" customWidth="1" min="3" max="3"/>
  </cols>
  <sheetData>
    <row r="1" ht="24" customHeight="1">
      <c r="A1" s="11" t="inlineStr">
        <is>
          <t>净资产收益率（ROE）计量</t>
        </is>
      </c>
    </row>
    <row r="3" ht="24" customHeight="1">
      <c r="A3" s="12" t="inlineStr">
        <is>
          <t>【一】营业收入</t>
        </is>
      </c>
    </row>
    <row r="4">
      <c r="A4" s="2" t="inlineStr">
        <is>
          <t xml:space="preserve">  1.利息净收入</t>
        </is>
      </c>
      <c r="B4" s="13" t="n">
        <v>156000000000</v>
      </c>
    </row>
    <row r="5">
      <c r="A5" s="2" t="inlineStr">
        <is>
          <t xml:space="preserve">  2.手续费及佣金净收入</t>
        </is>
      </c>
      <c r="B5" s="13" t="n">
        <v>38000000000</v>
      </c>
    </row>
    <row r="6">
      <c r="A6" s="2" t="inlineStr">
        <is>
          <t xml:space="preserve">  3.投资收益</t>
        </is>
      </c>
      <c r="B6" s="13" t="n">
        <v>5400000000</v>
      </c>
    </row>
    <row r="7">
      <c r="A7" s="2" t="inlineStr">
        <is>
          <t xml:space="preserve">  4.其他业务收入</t>
        </is>
      </c>
      <c r="B7" s="13" t="n">
        <v>9000000000</v>
      </c>
    </row>
    <row r="8">
      <c r="A8" s="14" t="inlineStr">
        <is>
          <t xml:space="preserve">  营业收入合计</t>
        </is>
      </c>
      <c r="B8" s="10">
        <f>SUM(B4:B7)</f>
        <v/>
      </c>
    </row>
    <row r="10" ht="24" customHeight="1">
      <c r="A10" s="12" t="inlineStr">
        <is>
          <t>【二】营业支出</t>
        </is>
      </c>
    </row>
    <row r="11">
      <c r="A11" s="2" t="inlineStr">
        <is>
          <t xml:space="preserve">  1.业务及管理费</t>
        </is>
      </c>
      <c r="B11" s="13" t="n">
        <v>-66000000000</v>
      </c>
    </row>
    <row r="12">
      <c r="A12" s="2" t="inlineStr">
        <is>
          <t xml:space="preserve">  2.资产减值损失</t>
        </is>
      </c>
      <c r="B12" s="13" t="n">
        <v>-37000000000</v>
      </c>
    </row>
    <row r="13">
      <c r="A13" s="2" t="inlineStr">
        <is>
          <t xml:space="preserve">  3.其他业务支出</t>
        </is>
      </c>
      <c r="B13" s="13" t="n">
        <v>-10000000000</v>
      </c>
    </row>
    <row r="14">
      <c r="A14" s="14" t="inlineStr">
        <is>
          <t xml:space="preserve">  营业支出合计</t>
        </is>
      </c>
      <c r="B14" s="10">
        <f>SUM(B11:B13)</f>
        <v/>
      </c>
    </row>
    <row r="16" ht="24" customHeight="1">
      <c r="A16" s="12" t="inlineStr">
        <is>
          <t>【三】营业外收支净额</t>
        </is>
      </c>
    </row>
    <row r="17">
      <c r="A17" s="2" t="inlineStr">
        <is>
          <t xml:space="preserve">  营业外净额</t>
        </is>
      </c>
      <c r="B17" s="13" t="n">
        <v>3000000000</v>
      </c>
    </row>
    <row r="18">
      <c r="A18" s="14" t="inlineStr">
        <is>
          <t>【四】利润总额</t>
        </is>
      </c>
      <c r="B18" s="10">
        <f>B8+B14+B17</f>
        <v/>
      </c>
    </row>
    <row r="20" ht="24" customHeight="1">
      <c r="A20" s="12" t="inlineStr">
        <is>
          <t>【五】所得税</t>
        </is>
      </c>
    </row>
    <row r="21">
      <c r="A21" s="2" t="inlineStr">
        <is>
          <t xml:space="preserve">  所得税费用（25%）</t>
        </is>
      </c>
      <c r="B21" s="13">
        <f>-B18*25%</f>
        <v/>
      </c>
    </row>
    <row r="23" ht="24" customHeight="1">
      <c r="A23" s="14" t="inlineStr">
        <is>
          <t>【六】净利润</t>
        </is>
      </c>
    </row>
    <row r="24">
      <c r="A24" s="15" t="inlineStr">
        <is>
          <t xml:space="preserve">  净利润</t>
        </is>
      </c>
      <c r="B24" s="16">
        <f>B18+B21</f>
        <v/>
      </c>
    </row>
    <row r="26" ht="24" customHeight="1">
      <c r="A26" s="12" t="inlineStr">
        <is>
          <t>【七】平均净资产</t>
        </is>
      </c>
    </row>
    <row r="27">
      <c r="A27" s="2" t="inlineStr">
        <is>
          <t xml:space="preserve">  期末所有者权益（来自 S03 所有者权益）</t>
        </is>
      </c>
      <c r="B27" s="13">
        <f>ROE项目明细!D58</f>
        <v/>
      </c>
    </row>
    <row r="28">
      <c r="A28" s="14" t="inlineStr">
        <is>
          <t xml:space="preserve">  平均净资产</t>
        </is>
      </c>
      <c r="B28" s="10">
        <f>B27</f>
        <v/>
      </c>
    </row>
    <row r="30" ht="24" customHeight="1">
      <c r="A30" s="17" t="inlineStr">
        <is>
          <t>【八】净资产收益率 ROE</t>
        </is>
      </c>
    </row>
    <row r="31">
      <c r="A31" s="15" t="inlineStr">
        <is>
          <t xml:space="preserve">  ROE（净利润 / 平均净资产）</t>
        </is>
      </c>
      <c r="B31" s="18">
        <f>B24/B28</f>
        <v/>
      </c>
    </row>
    <row r="33" ht="24" customHeight="1">
      <c r="A33" s="12" t="inlineStr">
        <is>
          <t>监管阈值</t>
        </is>
      </c>
    </row>
    <row r="34">
      <c r="A34" s="2" t="inlineStr">
        <is>
          <t xml:space="preserve">  商业银行 ROE 合理区间（≥ 8%）</t>
        </is>
      </c>
    </row>
    <row r="35">
      <c r="A35" s="2" t="inlineStr">
        <is>
          <t xml:space="preserve">  是否达标</t>
        </is>
      </c>
      <c r="B35" s="19">
        <f>IF(B31&gt;=8%,"达标","不达标")</f>
        <v/>
      </c>
    </row>
  </sheetData>
  <mergeCells count="9">
    <mergeCell ref="A10:C10"/>
    <mergeCell ref="A33:C33"/>
    <mergeCell ref="A1:C1"/>
    <mergeCell ref="A23:C23"/>
    <mergeCell ref="A3:C3"/>
    <mergeCell ref="A30:C30"/>
    <mergeCell ref="A26:C26"/>
    <mergeCell ref="A20:C20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4" customWidth="1" min="3" max="3"/>
  </cols>
  <sheetData>
    <row r="1">
      <c r="A1" s="11" t="inlineStr">
        <is>
          <t>ROE 计量公式与监管依据</t>
        </is>
      </c>
    </row>
    <row r="2" ht="30" customHeight="1">
      <c r="A2" s="1" t="inlineStr">
        <is>
          <t>公式编号</t>
        </is>
      </c>
      <c r="B2" s="1" t="inlineStr">
        <is>
          <t>公式内容</t>
        </is>
      </c>
      <c r="C2" s="1" t="inlineStr">
        <is>
          <t>备注</t>
        </is>
      </c>
    </row>
    <row r="3" ht="30" customHeight="1">
      <c r="A3" s="20" t="inlineStr">
        <is>
          <t>1</t>
        </is>
      </c>
      <c r="B3" s="21" t="inlineStr">
        <is>
          <t>净利润 = 营业收入 - 营业支出 + 营业外收支净额 - 所得税</t>
        </is>
      </c>
      <c r="C3" s="21" t="inlineStr">
        <is>
          <t>利润表</t>
        </is>
      </c>
    </row>
    <row r="4" ht="30" customHeight="1">
      <c r="A4" s="20" t="inlineStr">
        <is>
          <t>2</t>
        </is>
      </c>
      <c r="B4" s="21" t="inlineStr">
        <is>
          <t>ROE = 净利润 / 平均净资产 × 100%</t>
        </is>
      </c>
      <c r="C4" s="21" t="inlineStr">
        <is>
          <t>中国证监会《公开发行证券公司信息披露编报规则》</t>
        </is>
      </c>
    </row>
    <row r="5" ht="30" customHeight="1">
      <c r="A5" s="20" t="inlineStr">
        <is>
          <t>3</t>
        </is>
      </c>
      <c r="B5" s="21" t="inlineStr">
        <is>
          <t>平均净资产 ≈ 期末所有者权益（简化计算）</t>
        </is>
      </c>
      <c r="C5" s="21" t="inlineStr">
        <is>
          <t>完整公式：(期初 + 期末) / 2</t>
        </is>
      </c>
    </row>
    <row r="6" ht="30" customHeight="1">
      <c r="A6" s="20" t="inlineStr">
        <is>
          <t>4</t>
        </is>
      </c>
      <c r="B6" s="21" t="inlineStr">
        <is>
          <t>所得税税率 = 25%（企业所得税法）</t>
        </is>
      </c>
      <c r="C6" s="21" t="inlineStr">
        <is>
          <t>商业银行法定税率</t>
        </is>
      </c>
    </row>
    <row r="7" ht="30" customHeight="1">
      <c r="A7" s="20" t="inlineStr">
        <is>
          <t>5</t>
        </is>
      </c>
      <c r="B7" s="21" t="inlineStr">
        <is>
          <t>商业银行 ROE 监管参考区间：8%~15%</t>
        </is>
      </c>
      <c r="C7" s="21" t="inlineStr">
        <is>
          <t>银保监会非强制性指引</t>
        </is>
      </c>
    </row>
    <row r="8" ht="30" customHeight="1">
      <c r="A8" s="20" t="inlineStr">
        <is>
          <t>6</t>
        </is>
      </c>
      <c r="B8" s="21" t="inlineStr">
        <is>
          <t>本模板：净利润 = 738 亿，平均净资产 = 7,862.17 亿，ROE = 9.39%</t>
        </is>
      </c>
      <c r="C8" s="21" t="inlineStr">
        <is>
          <t>中信银行 2025 年末参考值</t>
        </is>
      </c>
    </row>
    <row r="9" ht="30" customHeight="1">
      <c r="A9" s="20" t="inlineStr">
        <is>
          <t>7</t>
        </is>
      </c>
      <c r="B9" s="21" t="inlineStr">
        <is>
          <t>ROE = 9.39% 与拆分前 4 个指标体系（LCR/NSFR/EVE/CET1）协同</t>
        </is>
      </c>
      <c r="C9" s="21" t="inlineStr">
        <is>
          <t>基于账户册结构 + 损益表扩展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2026-09-29T09:15:48Z</dcterms:created>
  <dcterms:modified xmlns:dcterms="http://purl.org/dc/terms/" xmlns:xsi="http://www.w3.org/2001/XMLSchema-instance" xsi:type="dcterms:W3CDTF">2026-09-29T09:15:48Z</dcterms:modified>
</cp:coreProperties>
</file>