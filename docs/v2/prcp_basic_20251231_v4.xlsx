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基础数据" sheetId="1" state="visible" r:id="rId1"/>
    <sheet name="折现的计量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52">
    <font>
      <name val="宋体"/>
      <charset val="134"/>
      <color theme="1"/>
      <sz val="11"/>
      <scheme val="minor"/>
    </font>
    <font>
      <name val="宋体"/>
      <charset val="134"/>
      <b val="1"/>
      <color rgb="FF1F4E78"/>
      <sz val="14"/>
      <scheme val="minor"/>
    </font>
    <font>
      <name val="宋体"/>
      <charset val="134"/>
      <b val="1"/>
      <color rgb="FF1D39C4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rgb="FF13C2C2"/>
      <sz val="10"/>
      <scheme val="minor"/>
    </font>
    <font>
      <name val="宋体"/>
      <charset val="134"/>
      <color rgb="FF722ED1"/>
      <sz val="10"/>
      <scheme val="minor"/>
    </font>
    <font>
      <name val="宋体"/>
      <charset val="134"/>
      <b val="1"/>
      <color rgb="FFEB2F96"/>
      <sz val="10"/>
      <scheme val="minor"/>
    </font>
    <font>
      <name val="宋体"/>
      <charset val="134"/>
      <b val="1"/>
      <color rgb="FF1F4E78"/>
      <sz val="11"/>
      <scheme val="minor"/>
    </font>
    <font>
      <name val="宋体"/>
      <charset val="134"/>
      <sz val="10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70C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555555"/>
      <sz val="9"/>
    </font>
    <font>
      <name val="微软雅黑"/>
      <color rgb="00888888"/>
      <sz val="8"/>
    </font>
    <font>
      <name val="微软雅黑"/>
      <b val="1"/>
      <color rgb="000070C0"/>
      <sz val="10"/>
    </font>
    <font>
      <name val="微软雅黑"/>
      <color rgb="00888888"/>
      <sz val="9"/>
    </font>
    <font>
      <name val="微软雅黑"/>
      <i val="1"/>
      <color rgb="000070C0"/>
      <sz val="9"/>
    </font>
    <font>
      <name val="微软雅黑"/>
      <b val="1"/>
      <color rgb="00C7000B"/>
      <sz val="9"/>
    </font>
    <font/>
    <font>
      <name val="微软雅黑"/>
      <b val="1"/>
      <color rgb="00C7000B"/>
      <sz val="10"/>
    </font>
    <font>
      <name val="微软雅黑"/>
      <i val="1"/>
      <color rgb="00555555"/>
      <sz val="9"/>
    </font>
    <font>
      <name val="微软雅黑"/>
      <b val="1"/>
      <color rgb="00FFFFFF"/>
      <sz val="16"/>
    </font>
    <font>
      <name val="微软雅黑"/>
      <i val="1"/>
      <color rgb="00555555"/>
      <sz val="10"/>
    </font>
    <font>
      <name val="微软雅黑"/>
      <b val="1"/>
      <color rgb="00C7000B"/>
      <sz val="13"/>
    </font>
    <font>
      <name val="微软雅黑"/>
      <sz val="10"/>
    </font>
    <font>
      <name val="微软雅黑"/>
      <b val="1"/>
      <color rgb="000070C0"/>
      <sz val="11"/>
    </font>
    <font>
      <name val="Consolas"/>
      <b val="1"/>
      <color rgb="000070C0"/>
      <sz val="11"/>
    </font>
    <font>
      <name val="Consolas"/>
      <color rgb="00555555"/>
      <sz val="10"/>
    </font>
    <font>
      <name val="Consolas"/>
      <color rgb="00555555"/>
      <sz val="9"/>
    </font>
    <font>
      <name val="Consolas"/>
      <color rgb="000070C0"/>
      <sz val="10"/>
    </font>
  </fonts>
  <fills count="43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AF1F8"/>
        <bgColor rgb="FFEAF1F8"/>
      </patternFill>
    </fill>
    <fill>
      <patternFill patternType="solid">
        <fgColor rgb="FFFBEAF0"/>
        <bgColor rgb="FFFBEAF0"/>
      </patternFill>
    </fill>
    <fill>
      <patternFill patternType="solid">
        <fgColor rgb="FFF2F2F2"/>
        <bgColor rgb="FFF2F2F2"/>
      </patternFill>
    </fill>
    <fill>
      <patternFill patternType="solid">
        <fgColor rgb="FFC700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/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32" fillId="38" borderId="10" applyAlignment="1" pivotButton="0" quotePrefix="0" xfId="0">
      <alignment horizontal="center" vertical="center"/>
    </xf>
    <xf numFmtId="4" fontId="31" fillId="2" borderId="10" applyAlignment="1" pivotButton="0" quotePrefix="0" xfId="0">
      <alignment horizontal="right" vertical="center"/>
    </xf>
    <xf numFmtId="4" fontId="31" fillId="3" borderId="10" applyAlignment="1" pivotButton="0" quotePrefix="0" xfId="0">
      <alignment horizontal="right" vertical="center"/>
    </xf>
    <xf numFmtId="4" fontId="31" fillId="0" borderId="10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33" fillId="38" borderId="0" applyAlignment="1" pivotButton="0" quotePrefix="0" xfId="0">
      <alignment horizontal="center" vertical="center"/>
    </xf>
    <xf numFmtId="0" fontId="35" fillId="0" borderId="0" pivotButton="0" quotePrefix="0" xfId="0"/>
    <xf numFmtId="165" fontId="34" fillId="0" borderId="0" pivotButton="0" quotePrefix="0" xfId="0"/>
    <xf numFmtId="165" fontId="34" fillId="0" borderId="10" pivotButton="0" quotePrefix="0" xfId="0"/>
    <xf numFmtId="4" fontId="36" fillId="2" borderId="10" applyAlignment="1" pivotButton="0" quotePrefix="0" xfId="0">
      <alignment horizontal="right" vertical="center"/>
    </xf>
    <xf numFmtId="1" fontId="37" fillId="2" borderId="10" applyAlignment="1" pivotButton="0" quotePrefix="0" xfId="0">
      <alignment horizontal="left" vertical="center"/>
    </xf>
    <xf numFmtId="4" fontId="36" fillId="3" borderId="10" applyAlignment="1" pivotButton="0" quotePrefix="0" xfId="0">
      <alignment horizontal="right" vertical="center"/>
    </xf>
    <xf numFmtId="1" fontId="37" fillId="3" borderId="10" applyAlignment="1" pivotButton="0" quotePrefix="0" xfId="0">
      <alignment horizontal="left" vertical="center"/>
    </xf>
    <xf numFmtId="4" fontId="36" fillId="0" borderId="10" applyAlignment="1" pivotButton="0" quotePrefix="0" xfId="0">
      <alignment horizontal="right" vertical="center"/>
    </xf>
    <xf numFmtId="1" fontId="37" fillId="0" borderId="1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0" pivotButton="0" quotePrefix="0" xfId="0"/>
    <xf numFmtId="0" fontId="33" fillId="38" borderId="10" applyAlignment="1" pivotButton="0" quotePrefix="0" xfId="0">
      <alignment horizontal="center" vertical="center"/>
    </xf>
    <xf numFmtId="0" fontId="40" fillId="0" borderId="11" pivotButton="0" quotePrefix="0" xfId="0"/>
    <xf numFmtId="0" fontId="41" fillId="39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165" fontId="34" fillId="0" borderId="10" applyAlignment="1" pivotButton="0" quotePrefix="0" xfId="0">
      <alignment horizontal="left" vertical="center"/>
    </xf>
    <xf numFmtId="0" fontId="36" fillId="0" borderId="10" applyAlignment="1" pivotButton="0" quotePrefix="0" xfId="0">
      <alignment horizontal="left" vertical="center"/>
    </xf>
    <xf numFmtId="0" fontId="42" fillId="0" borderId="10" applyAlignment="1" pivotButton="0" quotePrefix="0" xfId="0">
      <alignment horizontal="left" vertical="center"/>
    </xf>
    <xf numFmtId="0" fontId="39" fillId="0" borderId="1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3" fillId="38" borderId="0" applyAlignment="1" pivotButton="0" quotePrefix="0" xfId="0">
      <alignment horizontal="center" vertical="center"/>
    </xf>
    <xf numFmtId="0" fontId="44" fillId="39" borderId="0" applyAlignment="1" pivotButton="0" quotePrefix="0" xfId="0">
      <alignment horizontal="center" vertical="center"/>
    </xf>
    <xf numFmtId="0" fontId="45" fillId="39" borderId="0" applyAlignment="1" pivotButton="0" quotePrefix="0" xfId="0">
      <alignment horizontal="left" vertical="center"/>
    </xf>
    <xf numFmtId="0" fontId="46" fillId="0" borderId="10" applyAlignment="1" pivotButton="0" quotePrefix="0" xfId="0">
      <alignment horizontal="left" vertical="center" wrapText="1"/>
    </xf>
    <xf numFmtId="0" fontId="47" fillId="0" borderId="0" pivotButton="0" quotePrefix="0" xfId="0"/>
    <xf numFmtId="0" fontId="48" fillId="4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6" fillId="0" borderId="10" applyAlignment="1" pivotButton="0" quotePrefix="0" xfId="0">
      <alignment horizontal="center" vertical="center"/>
    </xf>
    <xf numFmtId="0" fontId="46" fillId="41" borderId="10" applyAlignment="1" pivotButton="0" quotePrefix="0" xfId="0">
      <alignment horizontal="center" vertical="center"/>
    </xf>
    <xf numFmtId="0" fontId="36" fillId="0" borderId="0" pivotButton="0" quotePrefix="0" xfId="0"/>
    <xf numFmtId="0" fontId="49" fillId="42" borderId="0" applyAlignment="1" pivotButton="0" quotePrefix="0" xfId="0">
      <alignment horizontal="left" vertical="center" wrapText="1"/>
    </xf>
    <xf numFmtId="0" fontId="46" fillId="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left" vertical="center" wrapText="1"/>
    </xf>
    <xf numFmtId="0" fontId="50" fillId="40" borderId="10" applyAlignment="1" pivotButton="0" quotePrefix="0" xfId="0">
      <alignment horizontal="left" vertical="center" wrapText="1"/>
    </xf>
    <xf numFmtId="0" fontId="51" fillId="4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82"/>
  <sheetViews>
    <sheetView tabSelected="1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4"/>
  <cols>
    <col width="16" customWidth="1" min="1" max="1"/>
    <col width="28" customWidth="1" min="2" max="2"/>
    <col width="14" customWidth="1" min="3" max="3"/>
    <col width="28" customWidth="1" min="4" max="4"/>
    <col width="8" customWidth="1" min="5" max="5"/>
    <col width="14" customWidth="1" min="6" max="6"/>
    <col width="8" customWidth="1" min="7" max="9"/>
    <col width="10" customWidth="1" min="10" max="11"/>
    <col width="20" customWidth="1" min="11" max="11"/>
    <col width="80" customWidth="1" min="12" max="139"/>
    <col width="14" customWidth="1" min="140" max="144"/>
  </cols>
  <sheetData>
    <row r="1" ht="24" customHeight="1">
      <c r="A1" s="1" t="inlineStr">
        <is>
          <t>账户册基础数据表 — 方案 8 / 2025-12-31（0D）</t>
        </is>
      </c>
    </row>
    <row r="2" ht="22" customHeight="1">
      <c r="L2" s="2" t="inlineStr">
        <is>
          <t>原始期限（金额）</t>
        </is>
      </c>
      <c r="BX2" s="3" t="inlineStr">
        <is>
          <t>剩余期限（金额）</t>
        </is>
      </c>
      <c r="EJ2" s="4" t="inlineStr">
        <is>
          <t>度量</t>
        </is>
      </c>
    </row>
    <row r="3" ht="32" customHeight="1">
      <c r="A3" s="5" t="inlineStr">
        <is>
          <t>ID（数据日期-账户册编码）</t>
        </is>
      </c>
      <c r="B3" s="5" t="inlineStr">
        <is>
          <t>数据日期</t>
        </is>
      </c>
      <c r="C3" s="5" t="inlineStr">
        <is>
          <t>账户册编码</t>
        </is>
      </c>
      <c r="D3" s="5" t="inlineStr">
        <is>
          <t>账户册名称</t>
        </is>
      </c>
      <c r="E3" s="5" t="inlineStr">
        <is>
          <t>账户册层级</t>
        </is>
      </c>
      <c r="F3" s="5" t="inlineStr">
        <is>
          <t>父级账户册编码</t>
        </is>
      </c>
      <c r="G3" s="5" t="inlineStr">
        <is>
          <t>是否末级</t>
        </is>
      </c>
      <c r="H3" s="5" t="inlineStr">
        <is>
          <t>大类</t>
        </is>
      </c>
      <c r="I3" s="5" t="inlineStr">
        <is>
          <t>ASF/RSF</t>
        </is>
      </c>
      <c r="J3" s="5" t="inlineStr">
        <is>
          <t>HQLA折算系数</t>
        </is>
      </c>
      <c r="K3" s="25" t="inlineStr">
        <is>
          <t>现值</t>
        </is>
      </c>
      <c r="L3" s="25" t="inlineStr">
        <is>
          <t>PV 公式(可审计)</t>
        </is>
      </c>
      <c r="M3" s="6" t="inlineStr">
        <is>
          <t>原始·2M</t>
        </is>
      </c>
      <c r="N3" s="6" t="inlineStr">
        <is>
          <t>原始·3M</t>
        </is>
      </c>
      <c r="O3" s="6" t="inlineStr">
        <is>
          <t>原始·4M</t>
        </is>
      </c>
      <c r="P3" s="6" t="inlineStr">
        <is>
          <t>原始·5M</t>
        </is>
      </c>
      <c r="Q3" s="6" t="inlineStr">
        <is>
          <t>原始·6M</t>
        </is>
      </c>
      <c r="R3" s="6" t="inlineStr">
        <is>
          <t>原始·7M</t>
        </is>
      </c>
      <c r="S3" s="6" t="inlineStr">
        <is>
          <t>原始·8M</t>
        </is>
      </c>
      <c r="T3" s="6" t="inlineStr">
        <is>
          <t>原始·9M</t>
        </is>
      </c>
      <c r="U3" s="6" t="inlineStr">
        <is>
          <t>原始·10M</t>
        </is>
      </c>
      <c r="V3" s="6" t="inlineStr">
        <is>
          <t>原始·11M</t>
        </is>
      </c>
      <c r="W3" s="6" t="inlineStr">
        <is>
          <t>原始·12M</t>
        </is>
      </c>
      <c r="X3" s="6" t="inlineStr">
        <is>
          <t>原始·13M</t>
        </is>
      </c>
      <c r="Y3" s="6" t="inlineStr">
        <is>
          <t>原始·14M</t>
        </is>
      </c>
      <c r="Z3" s="6" t="inlineStr">
        <is>
          <t>原始·15M</t>
        </is>
      </c>
      <c r="AA3" s="6" t="inlineStr">
        <is>
          <t>原始·16M</t>
        </is>
      </c>
      <c r="AB3" s="6" t="inlineStr">
        <is>
          <t>原始·17M</t>
        </is>
      </c>
      <c r="AC3" s="6" t="inlineStr">
        <is>
          <t>原始·18M</t>
        </is>
      </c>
      <c r="AD3" s="6" t="inlineStr">
        <is>
          <t>原始·19M</t>
        </is>
      </c>
      <c r="AE3" s="6" t="inlineStr">
        <is>
          <t>原始·20M</t>
        </is>
      </c>
      <c r="AF3" s="6" t="inlineStr">
        <is>
          <t>原始·21M</t>
        </is>
      </c>
      <c r="AG3" s="6" t="inlineStr">
        <is>
          <t>原始·22M</t>
        </is>
      </c>
      <c r="AH3" s="6" t="inlineStr">
        <is>
          <t>原始·23M</t>
        </is>
      </c>
      <c r="AI3" s="6" t="inlineStr">
        <is>
          <t>原始·24M</t>
        </is>
      </c>
      <c r="AJ3" s="6" t="inlineStr">
        <is>
          <t>原始·25M</t>
        </is>
      </c>
      <c r="AK3" s="6" t="inlineStr">
        <is>
          <t>原始·26M</t>
        </is>
      </c>
      <c r="AL3" s="6" t="inlineStr">
        <is>
          <t>原始·27M</t>
        </is>
      </c>
      <c r="AM3" s="6" t="inlineStr">
        <is>
          <t>原始·28M</t>
        </is>
      </c>
      <c r="AN3" s="6" t="inlineStr">
        <is>
          <t>原始·29M</t>
        </is>
      </c>
      <c r="AO3" s="6" t="inlineStr">
        <is>
          <t>原始·30M</t>
        </is>
      </c>
      <c r="AP3" s="6" t="inlineStr">
        <is>
          <t>原始·31M</t>
        </is>
      </c>
      <c r="AQ3" s="6" t="inlineStr">
        <is>
          <t>原始·32M</t>
        </is>
      </c>
      <c r="AR3" s="6" t="inlineStr">
        <is>
          <t>原始·33M</t>
        </is>
      </c>
      <c r="AS3" s="6" t="inlineStr">
        <is>
          <t>原始·34M</t>
        </is>
      </c>
      <c r="AT3" s="6" t="inlineStr">
        <is>
          <t>原始·35M</t>
        </is>
      </c>
      <c r="AU3" s="6" t="inlineStr">
        <is>
          <t>原始·36M</t>
        </is>
      </c>
      <c r="AV3" s="6" t="inlineStr">
        <is>
          <t>原始·37M</t>
        </is>
      </c>
      <c r="AW3" s="6" t="inlineStr">
        <is>
          <t>原始·38M</t>
        </is>
      </c>
      <c r="AX3" s="6" t="inlineStr">
        <is>
          <t>原始·39M</t>
        </is>
      </c>
      <c r="AY3" s="6" t="inlineStr">
        <is>
          <t>原始·40M</t>
        </is>
      </c>
      <c r="AZ3" s="6" t="inlineStr">
        <is>
          <t>原始·41M</t>
        </is>
      </c>
      <c r="BA3" s="6" t="inlineStr">
        <is>
          <t>原始·42M</t>
        </is>
      </c>
      <c r="BB3" s="6" t="inlineStr">
        <is>
          <t>原始·43M</t>
        </is>
      </c>
      <c r="BC3" s="6" t="inlineStr">
        <is>
          <t>原始·44M</t>
        </is>
      </c>
      <c r="BD3" s="6" t="inlineStr">
        <is>
          <t>原始·45M</t>
        </is>
      </c>
      <c r="BE3" s="6" t="inlineStr">
        <is>
          <t>原始·46M</t>
        </is>
      </c>
      <c r="BF3" s="6" t="inlineStr">
        <is>
          <t>原始·47M</t>
        </is>
      </c>
      <c r="BG3" s="6" t="inlineStr">
        <is>
          <t>原始·48M</t>
        </is>
      </c>
      <c r="BH3" s="6" t="inlineStr">
        <is>
          <t>原始·49M</t>
        </is>
      </c>
      <c r="BI3" s="6" t="inlineStr">
        <is>
          <t>原始·50M</t>
        </is>
      </c>
      <c r="BJ3" s="6" t="inlineStr">
        <is>
          <t>原始·51M</t>
        </is>
      </c>
      <c r="BK3" s="6" t="inlineStr">
        <is>
          <t>原始·52M</t>
        </is>
      </c>
      <c r="BL3" s="6" t="inlineStr">
        <is>
          <t>原始·53M</t>
        </is>
      </c>
      <c r="BM3" s="6" t="inlineStr">
        <is>
          <t>原始·54M</t>
        </is>
      </c>
      <c r="BN3" s="6" t="inlineStr">
        <is>
          <t>原始·55M</t>
        </is>
      </c>
      <c r="BO3" s="6" t="inlineStr">
        <is>
          <t>原始·56M</t>
        </is>
      </c>
      <c r="BP3" s="6" t="inlineStr">
        <is>
          <t>原始·57M</t>
        </is>
      </c>
      <c r="BQ3" s="6" t="inlineStr">
        <is>
          <t>原始·58M</t>
        </is>
      </c>
      <c r="BR3" s="6" t="inlineStr">
        <is>
          <t>原始·59M</t>
        </is>
      </c>
      <c r="BS3" s="6" t="inlineStr">
        <is>
          <t>原始·60M</t>
        </is>
      </c>
      <c r="BT3" s="6" t="inlineStr">
        <is>
          <t>原始·10Y</t>
        </is>
      </c>
      <c r="BU3" s="6" t="inlineStr">
        <is>
          <t>原始·15Y</t>
        </is>
      </c>
      <c r="BV3" s="6" t="inlineStr">
        <is>
          <t>原始·20Y</t>
        </is>
      </c>
      <c r="BW3" s="6" t="inlineStr">
        <is>
          <t>原始·30Y</t>
        </is>
      </c>
      <c r="BX3" s="7" t="inlineStr">
        <is>
          <t>剩余·1M</t>
        </is>
      </c>
      <c r="BY3" s="7" t="inlineStr">
        <is>
          <t>剩余·2M</t>
        </is>
      </c>
      <c r="BZ3" s="7" t="inlineStr">
        <is>
          <t>剩余·3M</t>
        </is>
      </c>
      <c r="CA3" s="7" t="inlineStr">
        <is>
          <t>剩余·4M</t>
        </is>
      </c>
      <c r="CB3" s="7" t="inlineStr">
        <is>
          <t>剩余·5M</t>
        </is>
      </c>
      <c r="CC3" s="7" t="inlineStr">
        <is>
          <t>剩余·6M</t>
        </is>
      </c>
      <c r="CD3" s="7" t="inlineStr">
        <is>
          <t>剩余·7M</t>
        </is>
      </c>
      <c r="CE3" s="7" t="inlineStr">
        <is>
          <t>剩余·8M</t>
        </is>
      </c>
      <c r="CF3" s="7" t="inlineStr">
        <is>
          <t>剩余·9M</t>
        </is>
      </c>
      <c r="CG3" s="7" t="inlineStr">
        <is>
          <t>剩余·10M</t>
        </is>
      </c>
      <c r="CH3" s="7" t="inlineStr">
        <is>
          <t>剩余·11M</t>
        </is>
      </c>
      <c r="CI3" s="7" t="inlineStr">
        <is>
          <t>剩余·12M</t>
        </is>
      </c>
      <c r="CJ3" s="7" t="inlineStr">
        <is>
          <t>剩余·13M</t>
        </is>
      </c>
      <c r="CK3" s="7" t="inlineStr">
        <is>
          <t>剩余·14M</t>
        </is>
      </c>
      <c r="CL3" s="7" t="inlineStr">
        <is>
          <t>剩余·15M</t>
        </is>
      </c>
      <c r="CM3" s="7" t="inlineStr">
        <is>
          <t>剩余·16M</t>
        </is>
      </c>
      <c r="CN3" s="7" t="inlineStr">
        <is>
          <t>剩余·17M</t>
        </is>
      </c>
      <c r="CO3" s="7" t="inlineStr">
        <is>
          <t>剩余·18M</t>
        </is>
      </c>
      <c r="CP3" s="7" t="inlineStr">
        <is>
          <t>剩余·19M</t>
        </is>
      </c>
      <c r="CQ3" s="7" t="inlineStr">
        <is>
          <t>剩余·20M</t>
        </is>
      </c>
      <c r="CR3" s="7" t="inlineStr">
        <is>
          <t>剩余·21M</t>
        </is>
      </c>
      <c r="CS3" s="7" t="inlineStr">
        <is>
          <t>剩余·22M</t>
        </is>
      </c>
      <c r="CT3" s="7" t="inlineStr">
        <is>
          <t>剩余·23M</t>
        </is>
      </c>
      <c r="CU3" s="7" t="inlineStr">
        <is>
          <t>剩余·24M</t>
        </is>
      </c>
      <c r="CV3" s="7" t="inlineStr">
        <is>
          <t>剩余·25M</t>
        </is>
      </c>
      <c r="CW3" s="7" t="inlineStr">
        <is>
          <t>剩余·26M</t>
        </is>
      </c>
      <c r="CX3" s="7" t="inlineStr">
        <is>
          <t>剩余·27M</t>
        </is>
      </c>
      <c r="CY3" s="7" t="inlineStr">
        <is>
          <t>剩余·28M</t>
        </is>
      </c>
      <c r="CZ3" s="7" t="inlineStr">
        <is>
          <t>剩余·29M</t>
        </is>
      </c>
      <c r="DA3" s="7" t="inlineStr">
        <is>
          <t>剩余·30M</t>
        </is>
      </c>
      <c r="DB3" s="7" t="inlineStr">
        <is>
          <t>剩余·31M</t>
        </is>
      </c>
      <c r="DC3" s="7" t="inlineStr">
        <is>
          <t>剩余·32M</t>
        </is>
      </c>
      <c r="DD3" s="7" t="inlineStr">
        <is>
          <t>剩余·33M</t>
        </is>
      </c>
      <c r="DE3" s="7" t="inlineStr">
        <is>
          <t>剩余·34M</t>
        </is>
      </c>
      <c r="DF3" s="7" t="inlineStr">
        <is>
          <t>剩余·35M</t>
        </is>
      </c>
      <c r="DG3" s="7" t="inlineStr">
        <is>
          <t>剩余·36M</t>
        </is>
      </c>
      <c r="DH3" s="7" t="inlineStr">
        <is>
          <t>剩余·37M</t>
        </is>
      </c>
      <c r="DI3" s="7" t="inlineStr">
        <is>
          <t>剩余·38M</t>
        </is>
      </c>
      <c r="DJ3" s="7" t="inlineStr">
        <is>
          <t>剩余·39M</t>
        </is>
      </c>
      <c r="DK3" s="7" t="inlineStr">
        <is>
          <t>剩余·40M</t>
        </is>
      </c>
      <c r="DL3" s="7" t="inlineStr">
        <is>
          <t>剩余·41M</t>
        </is>
      </c>
      <c r="DM3" s="7" t="inlineStr">
        <is>
          <t>剩余·42M</t>
        </is>
      </c>
      <c r="DN3" s="7" t="inlineStr">
        <is>
          <t>剩余·43M</t>
        </is>
      </c>
      <c r="DO3" s="7" t="inlineStr">
        <is>
          <t>剩余·44M</t>
        </is>
      </c>
      <c r="DP3" s="7" t="inlineStr">
        <is>
          <t>剩余·45M</t>
        </is>
      </c>
      <c r="DQ3" s="7" t="inlineStr">
        <is>
          <t>剩余·46M</t>
        </is>
      </c>
      <c r="DR3" s="7" t="inlineStr">
        <is>
          <t>剩余·47M</t>
        </is>
      </c>
      <c r="DS3" s="7" t="inlineStr">
        <is>
          <t>剩余·48M</t>
        </is>
      </c>
      <c r="DT3" s="7" t="inlineStr">
        <is>
          <t>剩余·49M</t>
        </is>
      </c>
      <c r="DU3" s="7" t="inlineStr">
        <is>
          <t>剩余·50M</t>
        </is>
      </c>
      <c r="DV3" s="7" t="inlineStr">
        <is>
          <t>剩余·51M</t>
        </is>
      </c>
      <c r="DW3" s="7" t="inlineStr">
        <is>
          <t>剩余·52M</t>
        </is>
      </c>
      <c r="DX3" s="7" t="inlineStr">
        <is>
          <t>剩余·53M</t>
        </is>
      </c>
      <c r="DY3" s="7" t="inlineStr">
        <is>
          <t>剩余·54M</t>
        </is>
      </c>
      <c r="DZ3" s="7" t="inlineStr">
        <is>
          <t>剩余·55M</t>
        </is>
      </c>
      <c r="EA3" s="7" t="inlineStr">
        <is>
          <t>剩余·56M</t>
        </is>
      </c>
      <c r="EB3" s="7" t="inlineStr">
        <is>
          <t>剩余·57M</t>
        </is>
      </c>
      <c r="EC3" s="7" t="inlineStr">
        <is>
          <t>剩余·58M</t>
        </is>
      </c>
      <c r="ED3" s="7" t="inlineStr">
        <is>
          <t>剩余·59M</t>
        </is>
      </c>
      <c r="EE3" s="7" t="inlineStr">
        <is>
          <t>剩余·60M</t>
        </is>
      </c>
      <c r="EF3" s="7" t="inlineStr">
        <is>
          <t>剩余·10Y</t>
        </is>
      </c>
      <c r="EG3" s="7" t="inlineStr">
        <is>
          <t>剩余·15Y</t>
        </is>
      </c>
      <c r="EH3" s="7" t="inlineStr">
        <is>
          <t>剩余·20Y</t>
        </is>
      </c>
      <c r="EI3" s="7" t="inlineStr">
        <is>
          <t>剩余·30Y</t>
        </is>
      </c>
      <c r="EJ3" s="8" t="inlineStr">
        <is>
          <t>当前余额</t>
        </is>
      </c>
      <c r="EK3" s="8" t="inlineStr">
        <is>
          <t>平均余额（月）</t>
        </is>
      </c>
      <c r="EL3" s="8" t="inlineStr">
        <is>
          <t>加权平均利率(%)</t>
        </is>
      </c>
      <c r="EM3" s="8" t="inlineStr">
        <is>
          <t>平均利息收支</t>
        </is>
      </c>
      <c r="EN3" s="8" t="inlineStr">
        <is>
          <t>风险权重(%)</t>
        </is>
      </c>
    </row>
    <row r="4">
      <c r="A4" s="9" t="inlineStr">
        <is>
          <t>2025-12-31-S01000000000000</t>
        </is>
      </c>
      <c r="B4" s="9" t="inlineStr">
        <is>
          <t>2025-12-31</t>
        </is>
      </c>
      <c r="C4" s="9" t="inlineStr">
        <is>
          <t>S01000000000000</t>
        </is>
      </c>
      <c r="D4" s="10" t="inlineStr">
        <is>
          <t>总资产</t>
        </is>
      </c>
      <c r="E4" s="11" t="n">
        <v>1</v>
      </c>
      <c r="F4" s="9" t="inlineStr"/>
      <c r="G4" s="9" t="n">
        <v>0</v>
      </c>
      <c r="H4" s="9" t="inlineStr">
        <is>
          <t>ASSET</t>
        </is>
      </c>
      <c r="I4" s="9" t="inlineStr"/>
      <c r="J4" s="9" t="n">
        <v>0</v>
      </c>
      <c r="K4" s="34" t="n">
        <v>57117150507472.61</v>
      </c>
      <c r="L4" s="35">
        <f>SUMPRODUCT($C75:$C134,$B$114:$B$173)+C135*$B$175+C136*$B$176+C137*$B$177+C138*$B$178</f>
        <v/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2160000000000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3240000000000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43200000000000</v>
      </c>
      <c r="BU4" s="12" t="n">
        <v>21600000000000</v>
      </c>
      <c r="BV4" s="12" t="n">
        <v>10800000000000</v>
      </c>
      <c r="BW4" s="12" t="n">
        <v>10800000000000</v>
      </c>
      <c r="BX4" s="12" t="n">
        <v>2527200000000</v>
      </c>
      <c r="BY4" s="12" t="n">
        <v>2527200000000</v>
      </c>
      <c r="BZ4" s="12" t="n">
        <v>2527200000000</v>
      </c>
      <c r="CA4" s="12" t="n">
        <v>2527200000000</v>
      </c>
      <c r="CB4" s="12" t="n">
        <v>2527200000000</v>
      </c>
      <c r="CC4" s="12" t="n">
        <v>2527200000000</v>
      </c>
      <c r="CD4" s="12" t="n">
        <v>2527200000000</v>
      </c>
      <c r="CE4" s="12" t="n">
        <v>2527200000000</v>
      </c>
      <c r="CF4" s="12" t="n">
        <v>2527200000000</v>
      </c>
      <c r="CG4" s="12" t="n">
        <v>2527200000000</v>
      </c>
      <c r="CH4" s="12" t="n">
        <v>2527200000000</v>
      </c>
      <c r="CI4" s="12" t="n">
        <v>2527200000000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13500000000000</v>
      </c>
      <c r="EG4" s="12" t="n">
        <v>6750000000000</v>
      </c>
      <c r="EH4" s="12" t="n">
        <v>3369600000000</v>
      </c>
      <c r="EI4" s="12" t="n">
        <v>3369600000000</v>
      </c>
      <c r="EJ4" s="12" t="n">
        <v>108000000000000</v>
      </c>
      <c r="EK4" s="12" t="n">
        <v>108000000000000</v>
      </c>
      <c r="EL4" s="12" t="n">
        <v>3.4</v>
      </c>
      <c r="EM4" s="12" t="n">
        <v>306000000000</v>
      </c>
      <c r="EN4" s="12" t="n">
        <v>0</v>
      </c>
    </row>
    <row r="5">
      <c r="A5" s="13" t="inlineStr">
        <is>
          <t>2025-12-31-S01010000000000</t>
        </is>
      </c>
      <c r="B5" s="13" t="inlineStr">
        <is>
          <t>2025-12-31</t>
        </is>
      </c>
      <c r="C5" s="13" t="inlineStr">
        <is>
          <t>S01010000000000</t>
        </is>
      </c>
      <c r="D5" s="14" t="inlineStr">
        <is>
          <t xml:space="preserve">　（一）人民币小计</t>
        </is>
      </c>
      <c r="E5" s="15" t="n">
        <v>2</v>
      </c>
      <c r="F5" s="13" t="inlineStr">
        <is>
          <t>S01000000000000</t>
        </is>
      </c>
      <c r="G5" s="13" t="n">
        <v>0</v>
      </c>
      <c r="H5" s="13" t="inlineStr">
        <is>
          <t>ASSET</t>
        </is>
      </c>
      <c r="I5" s="13" t="inlineStr"/>
      <c r="J5" s="13" t="n">
        <v>0</v>
      </c>
      <c r="K5" s="36" t="n">
        <v>52886250469882.05</v>
      </c>
      <c r="L5" s="37">
        <f>SUMPRODUCT($C75:$C134,$B$114:$B$173)+C135*$B$175+C136*$B$176+C137*$B$177+C138*$B$178</f>
        <v/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2000000000000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3000000000000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40000000000000</v>
      </c>
      <c r="BU5" s="16" t="n">
        <v>20000000000000</v>
      </c>
      <c r="BV5" s="16" t="n">
        <v>10000000000000</v>
      </c>
      <c r="BW5" s="16" t="n">
        <v>10000000000000</v>
      </c>
      <c r="BX5" s="16" t="n">
        <v>2340000000000</v>
      </c>
      <c r="BY5" s="16" t="n">
        <v>2340000000000</v>
      </c>
      <c r="BZ5" s="16" t="n">
        <v>2340000000000</v>
      </c>
      <c r="CA5" s="16" t="n">
        <v>2340000000000</v>
      </c>
      <c r="CB5" s="16" t="n">
        <v>2340000000000</v>
      </c>
      <c r="CC5" s="16" t="n">
        <v>2340000000000</v>
      </c>
      <c r="CD5" s="16" t="n">
        <v>2340000000000</v>
      </c>
      <c r="CE5" s="16" t="n">
        <v>2340000000000</v>
      </c>
      <c r="CF5" s="16" t="n">
        <v>2340000000000</v>
      </c>
      <c r="CG5" s="16" t="n">
        <v>2340000000000</v>
      </c>
      <c r="CH5" s="16" t="n">
        <v>2340000000000</v>
      </c>
      <c r="CI5" s="16" t="n">
        <v>2340000000000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0</v>
      </c>
      <c r="CO5" s="16" t="n">
        <v>0</v>
      </c>
      <c r="CP5" s="16" t="n">
        <v>0</v>
      </c>
      <c r="CQ5" s="16" t="n">
        <v>0</v>
      </c>
      <c r="CR5" s="16" t="n">
        <v>0</v>
      </c>
      <c r="CS5" s="16" t="n">
        <v>0</v>
      </c>
      <c r="CT5" s="16" t="n">
        <v>0</v>
      </c>
      <c r="CU5" s="16" t="n">
        <v>0</v>
      </c>
      <c r="CV5" s="16" t="n">
        <v>0</v>
      </c>
      <c r="CW5" s="16" t="n">
        <v>0</v>
      </c>
      <c r="CX5" s="16" t="n">
        <v>0</v>
      </c>
      <c r="CY5" s="16" t="n">
        <v>0</v>
      </c>
      <c r="CZ5" s="16" t="n">
        <v>0</v>
      </c>
      <c r="DA5" s="16" t="n">
        <v>0</v>
      </c>
      <c r="DB5" s="16" t="n">
        <v>0</v>
      </c>
      <c r="DC5" s="16" t="n">
        <v>0</v>
      </c>
      <c r="DD5" s="16" t="n">
        <v>0</v>
      </c>
      <c r="DE5" s="16" t="n">
        <v>0</v>
      </c>
      <c r="DF5" s="16" t="n">
        <v>0</v>
      </c>
      <c r="DG5" s="16" t="n">
        <v>0</v>
      </c>
      <c r="DH5" s="16" t="n">
        <v>0</v>
      </c>
      <c r="DI5" s="16" t="n">
        <v>0</v>
      </c>
      <c r="DJ5" s="16" t="n">
        <v>0</v>
      </c>
      <c r="DK5" s="16" t="n">
        <v>0</v>
      </c>
      <c r="DL5" s="16" t="n">
        <v>0</v>
      </c>
      <c r="DM5" s="16" t="n">
        <v>0</v>
      </c>
      <c r="DN5" s="16" t="n">
        <v>0</v>
      </c>
      <c r="DO5" s="16" t="n">
        <v>0</v>
      </c>
      <c r="DP5" s="16" t="n">
        <v>0</v>
      </c>
      <c r="DQ5" s="16" t="n">
        <v>0</v>
      </c>
      <c r="DR5" s="16" t="n">
        <v>0</v>
      </c>
      <c r="DS5" s="16" t="n">
        <v>0</v>
      </c>
      <c r="DT5" s="16" t="n">
        <v>0</v>
      </c>
      <c r="DU5" s="16" t="n">
        <v>0</v>
      </c>
      <c r="DV5" s="16" t="n">
        <v>0</v>
      </c>
      <c r="DW5" s="16" t="n">
        <v>0</v>
      </c>
      <c r="DX5" s="16" t="n">
        <v>0</v>
      </c>
      <c r="DY5" s="16" t="n">
        <v>0</v>
      </c>
      <c r="DZ5" s="16" t="n">
        <v>0</v>
      </c>
      <c r="EA5" s="16" t="n">
        <v>0</v>
      </c>
      <c r="EB5" s="16" t="n">
        <v>0</v>
      </c>
      <c r="EC5" s="16" t="n">
        <v>0</v>
      </c>
      <c r="ED5" s="16" t="n">
        <v>0</v>
      </c>
      <c r="EE5" s="16" t="n">
        <v>0</v>
      </c>
      <c r="EF5" s="16" t="n">
        <v>12500000000000</v>
      </c>
      <c r="EG5" s="16" t="n">
        <v>6250000000000</v>
      </c>
      <c r="EH5" s="16" t="n">
        <v>3120000000000</v>
      </c>
      <c r="EI5" s="16" t="n">
        <v>3120000000000</v>
      </c>
      <c r="EJ5" s="16" t="n">
        <v>100000000000000</v>
      </c>
      <c r="EK5" s="16" t="n">
        <v>100000000000000</v>
      </c>
      <c r="EL5" s="16" t="n">
        <v>3.45</v>
      </c>
      <c r="EM5" s="16" t="n">
        <v>287500000000</v>
      </c>
      <c r="EN5" s="16" t="n">
        <v>0</v>
      </c>
    </row>
    <row r="6">
      <c r="A6" t="inlineStr">
        <is>
          <t>2025-12-31-S01010100000000</t>
        </is>
      </c>
      <c r="B6" t="inlineStr">
        <is>
          <t>2025-12-31</t>
        </is>
      </c>
      <c r="C6" t="inlineStr">
        <is>
          <t>S01010100000000</t>
        </is>
      </c>
      <c r="D6" s="17" t="inlineStr">
        <is>
          <t xml:space="preserve">　　1. 境内人民币各项贷款</t>
        </is>
      </c>
      <c r="E6" s="18" t="n">
        <v>3</v>
      </c>
      <c r="F6" t="inlineStr">
        <is>
          <t>S01010000000000</t>
        </is>
      </c>
      <c r="G6" t="n">
        <v>0</v>
      </c>
      <c r="H6" t="inlineStr">
        <is>
          <t>ASSET</t>
        </is>
      </c>
      <c r="J6" t="n">
        <v>0</v>
      </c>
      <c r="K6" s="38" t="n">
        <v>29087437758435.12</v>
      </c>
      <c r="L6" s="39">
        <f>SUMPRODUCT($C75:$C134,$B$114:$B$173)+C135*$B$175+C136*$B$176+C137*$B$177+C138*$B$178</f>
        <v/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1100000000000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1650000000000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>
        <v>0</v>
      </c>
      <c r="AI6" s="19" t="n">
        <v>0</v>
      </c>
      <c r="AJ6" s="19" t="n">
        <v>0</v>
      </c>
      <c r="AK6" s="19" t="n">
        <v>0</v>
      </c>
      <c r="AL6" s="19" t="n">
        <v>0</v>
      </c>
      <c r="AM6" s="19" t="n">
        <v>0</v>
      </c>
      <c r="AN6" s="19" t="n">
        <v>0</v>
      </c>
      <c r="AO6" s="19" t="n">
        <v>0</v>
      </c>
      <c r="AP6" s="19" t="n">
        <v>0</v>
      </c>
      <c r="AQ6" s="19" t="n">
        <v>0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9" t="n">
        <v>0</v>
      </c>
      <c r="BA6" s="19" t="n">
        <v>0</v>
      </c>
      <c r="BB6" s="19" t="n">
        <v>0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9" t="n">
        <v>0</v>
      </c>
      <c r="BT6" s="19" t="n">
        <v>22000000000000</v>
      </c>
      <c r="BU6" s="19" t="n">
        <v>11000000000000</v>
      </c>
      <c r="BV6" s="19" t="n">
        <v>5500000000000</v>
      </c>
      <c r="BW6" s="19" t="n">
        <v>5500000000000</v>
      </c>
      <c r="BX6" s="19" t="n">
        <v>1287000000000</v>
      </c>
      <c r="BY6" s="19" t="n">
        <v>1287000000000</v>
      </c>
      <c r="BZ6" s="19" t="n">
        <v>1287000000000</v>
      </c>
      <c r="CA6" s="19" t="n">
        <v>1287000000000</v>
      </c>
      <c r="CB6" s="19" t="n">
        <v>1287000000000</v>
      </c>
      <c r="CC6" s="19" t="n">
        <v>1287000000000</v>
      </c>
      <c r="CD6" s="19" t="n">
        <v>1287000000000</v>
      </c>
      <c r="CE6" s="19" t="n">
        <v>1287000000000</v>
      </c>
      <c r="CF6" s="19" t="n">
        <v>1287000000000</v>
      </c>
      <c r="CG6" s="19" t="n">
        <v>1287000000000</v>
      </c>
      <c r="CH6" s="19" t="n">
        <v>1287000000000</v>
      </c>
      <c r="CI6" s="19" t="n">
        <v>1287000000000</v>
      </c>
      <c r="CJ6" s="19" t="n">
        <v>0</v>
      </c>
      <c r="CK6" s="19" t="n">
        <v>0</v>
      </c>
      <c r="CL6" s="19" t="n">
        <v>0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9" t="n">
        <v>0</v>
      </c>
      <c r="CT6" s="19" t="n">
        <v>0</v>
      </c>
      <c r="CU6" s="19" t="n">
        <v>0</v>
      </c>
      <c r="CV6" s="19" t="n">
        <v>0</v>
      </c>
      <c r="CW6" s="19" t="n">
        <v>0</v>
      </c>
      <c r="CX6" s="19" t="n">
        <v>0</v>
      </c>
      <c r="CY6" s="19" t="n">
        <v>0</v>
      </c>
      <c r="CZ6" s="19" t="n">
        <v>0</v>
      </c>
      <c r="DA6" s="19" t="n">
        <v>0</v>
      </c>
      <c r="DB6" s="19" t="n">
        <v>0</v>
      </c>
      <c r="DC6" s="19" t="n">
        <v>0</v>
      </c>
      <c r="DD6" s="19" t="n">
        <v>0</v>
      </c>
      <c r="DE6" s="19" t="n">
        <v>0</v>
      </c>
      <c r="DF6" s="19" t="n">
        <v>0</v>
      </c>
      <c r="DG6" s="19" t="n">
        <v>0</v>
      </c>
      <c r="DH6" s="19" t="n">
        <v>0</v>
      </c>
      <c r="DI6" s="19" t="n">
        <v>0</v>
      </c>
      <c r="DJ6" s="19" t="n">
        <v>0</v>
      </c>
      <c r="DK6" s="19" t="n">
        <v>0</v>
      </c>
      <c r="DL6" s="19" t="n">
        <v>0</v>
      </c>
      <c r="DM6" s="19" t="n">
        <v>0</v>
      </c>
      <c r="DN6" s="19" t="n">
        <v>0</v>
      </c>
      <c r="DO6" s="19" t="n">
        <v>0</v>
      </c>
      <c r="DP6" s="19" t="n">
        <v>0</v>
      </c>
      <c r="DQ6" s="19" t="n">
        <v>0</v>
      </c>
      <c r="DR6" s="19" t="n">
        <v>0</v>
      </c>
      <c r="DS6" s="19" t="n">
        <v>0</v>
      </c>
      <c r="DT6" s="19" t="n">
        <v>0</v>
      </c>
      <c r="DU6" s="19" t="n">
        <v>0</v>
      </c>
      <c r="DV6" s="19" t="n">
        <v>0</v>
      </c>
      <c r="DW6" s="19" t="n">
        <v>0</v>
      </c>
      <c r="DX6" s="19" t="n">
        <v>0</v>
      </c>
      <c r="DY6" s="19" t="n">
        <v>0</v>
      </c>
      <c r="DZ6" s="19" t="n">
        <v>0</v>
      </c>
      <c r="EA6" s="19" t="n">
        <v>0</v>
      </c>
      <c r="EB6" s="19" t="n">
        <v>0</v>
      </c>
      <c r="EC6" s="19" t="n">
        <v>0</v>
      </c>
      <c r="ED6" s="19" t="n">
        <v>0</v>
      </c>
      <c r="EE6" s="19" t="n">
        <v>0</v>
      </c>
      <c r="EF6" s="19" t="n">
        <v>6875000000000</v>
      </c>
      <c r="EG6" s="19" t="n">
        <v>3437500000000</v>
      </c>
      <c r="EH6" s="19" t="n">
        <v>1716000000000</v>
      </c>
      <c r="EI6" s="19" t="n">
        <v>1716000000000</v>
      </c>
      <c r="EJ6" s="19" t="n">
        <v>55000000000000</v>
      </c>
      <c r="EK6" s="19" t="n">
        <v>55000000000000</v>
      </c>
      <c r="EL6" s="19" t="n">
        <v>4.3</v>
      </c>
      <c r="EM6" s="19" t="n">
        <v>197083333333.333</v>
      </c>
      <c r="EN6" s="19" t="n">
        <v>0</v>
      </c>
    </row>
    <row r="7">
      <c r="A7" t="inlineStr">
        <is>
          <t>2025-12-31-S01010101000000</t>
        </is>
      </c>
      <c r="B7" t="inlineStr">
        <is>
          <t>2025-12-31</t>
        </is>
      </c>
      <c r="C7" t="inlineStr">
        <is>
          <t>S01010101000000</t>
        </is>
      </c>
      <c r="D7" s="17" t="inlineStr">
        <is>
          <t xml:space="preserve">　　　1.1. 对公一般贷款</t>
        </is>
      </c>
      <c r="E7" s="18" t="n">
        <v>4</v>
      </c>
      <c r="F7" t="inlineStr">
        <is>
          <t>S01010100000000</t>
        </is>
      </c>
      <c r="G7" t="n">
        <v>1</v>
      </c>
      <c r="H7" t="inlineStr">
        <is>
          <t>ASSET</t>
        </is>
      </c>
      <c r="I7" t="inlineStr">
        <is>
          <t>RSF</t>
        </is>
      </c>
      <c r="J7" t="n">
        <v>0.5</v>
      </c>
      <c r="K7" s="38" t="n">
        <v>12957131365121.1</v>
      </c>
      <c r="L7" s="39">
        <f>SUMPRODUCT($C75:$C134,$B$114:$B$173)+C135*$B$175+C136*$B$176+C137*$B$177+C138*$B$178</f>
        <v/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490000000000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735000000000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9800000000000</v>
      </c>
      <c r="BU7" s="19" t="n">
        <v>4900000000000</v>
      </c>
      <c r="BV7" s="19" t="n">
        <v>2450000000000</v>
      </c>
      <c r="BW7" s="19" t="n">
        <v>2450000000000</v>
      </c>
      <c r="BX7" s="19" t="n">
        <v>573300000000</v>
      </c>
      <c r="BY7" s="19" t="n">
        <v>573300000000</v>
      </c>
      <c r="BZ7" s="19" t="n">
        <v>573300000000</v>
      </c>
      <c r="CA7" s="19" t="n">
        <v>573300000000</v>
      </c>
      <c r="CB7" s="19" t="n">
        <v>573300000000</v>
      </c>
      <c r="CC7" s="19" t="n">
        <v>573300000000</v>
      </c>
      <c r="CD7" s="19" t="n">
        <v>573300000000</v>
      </c>
      <c r="CE7" s="19" t="n">
        <v>573300000000</v>
      </c>
      <c r="CF7" s="19" t="n">
        <v>573300000000</v>
      </c>
      <c r="CG7" s="19" t="n">
        <v>573300000000</v>
      </c>
      <c r="CH7" s="19" t="n">
        <v>573300000000</v>
      </c>
      <c r="CI7" s="19" t="n">
        <v>573300000000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9" t="n">
        <v>0</v>
      </c>
      <c r="CV7" s="19" t="n">
        <v>0</v>
      </c>
      <c r="CW7" s="19" t="n">
        <v>0</v>
      </c>
      <c r="CX7" s="19" t="n">
        <v>0</v>
      </c>
      <c r="CY7" s="19" t="n">
        <v>0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9" t="n">
        <v>0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3062500000000</v>
      </c>
      <c r="EG7" s="19" t="n">
        <v>1531250000000</v>
      </c>
      <c r="EH7" s="19" t="n">
        <v>764400000000</v>
      </c>
      <c r="EI7" s="19" t="n">
        <v>764400000000</v>
      </c>
      <c r="EJ7" s="19" t="n">
        <v>24500000000000</v>
      </c>
      <c r="EK7" s="19" t="n">
        <v>24500000000000</v>
      </c>
      <c r="EL7" s="19" t="n">
        <v>4.1</v>
      </c>
      <c r="EM7" s="19" t="n">
        <v>83708333333.3333</v>
      </c>
      <c r="EN7" s="19" t="n">
        <v>100</v>
      </c>
    </row>
    <row r="8">
      <c r="A8" t="inlineStr">
        <is>
          <t>2025-12-31-S01010102000000</t>
        </is>
      </c>
      <c r="B8" t="inlineStr">
        <is>
          <t>2025-12-31</t>
        </is>
      </c>
      <c r="C8" t="inlineStr">
        <is>
          <t>S01010102000000</t>
        </is>
      </c>
      <c r="D8" s="17" t="inlineStr">
        <is>
          <t xml:space="preserve">　　　1.2. 个人贷款</t>
        </is>
      </c>
      <c r="E8" s="18" t="n">
        <v>4</v>
      </c>
      <c r="F8" t="inlineStr">
        <is>
          <t>S01010100000000</t>
        </is>
      </c>
      <c r="G8" t="n">
        <v>1</v>
      </c>
      <c r="H8" t="inlineStr">
        <is>
          <t>ASSET</t>
        </is>
      </c>
      <c r="I8" t="inlineStr">
        <is>
          <t>RSF</t>
        </is>
      </c>
      <c r="J8" t="n">
        <v>0.5</v>
      </c>
      <c r="K8" s="38" t="n">
        <v>9255093832229.359</v>
      </c>
      <c r="L8" s="39">
        <f>SUMPRODUCT($C75:$C134,$B$114:$B$173)+C135*$B$175+C136*$B$176+C137*$B$177+C138*$B$178</f>
        <v/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350000000000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525000000000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7000000000000</v>
      </c>
      <c r="BU8" s="19" t="n">
        <v>3500000000000</v>
      </c>
      <c r="BV8" s="19" t="n">
        <v>1750000000000</v>
      </c>
      <c r="BW8" s="19" t="n">
        <v>1750000000000</v>
      </c>
      <c r="BX8" s="19" t="n">
        <v>409500000000</v>
      </c>
      <c r="BY8" s="19" t="n">
        <v>409500000000</v>
      </c>
      <c r="BZ8" s="19" t="n">
        <v>409500000000</v>
      </c>
      <c r="CA8" s="19" t="n">
        <v>409500000000</v>
      </c>
      <c r="CB8" s="19" t="n">
        <v>409500000000</v>
      </c>
      <c r="CC8" s="19" t="n">
        <v>409500000000</v>
      </c>
      <c r="CD8" s="19" t="n">
        <v>409500000000</v>
      </c>
      <c r="CE8" s="19" t="n">
        <v>409500000000</v>
      </c>
      <c r="CF8" s="19" t="n">
        <v>409500000000</v>
      </c>
      <c r="CG8" s="19" t="n">
        <v>409500000000</v>
      </c>
      <c r="CH8" s="19" t="n">
        <v>409500000000</v>
      </c>
      <c r="CI8" s="19" t="n">
        <v>409500000000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2187500000000</v>
      </c>
      <c r="EG8" s="19" t="n">
        <v>1093750000000</v>
      </c>
      <c r="EH8" s="19" t="n">
        <v>546000000000</v>
      </c>
      <c r="EI8" s="19" t="n">
        <v>546000000000</v>
      </c>
      <c r="EJ8" s="19" t="n">
        <v>17500000000000</v>
      </c>
      <c r="EK8" s="19" t="n">
        <v>17500000000000</v>
      </c>
      <c r="EL8" s="19" t="n">
        <v>3.95</v>
      </c>
      <c r="EM8" s="19" t="n">
        <v>57604166666.6667</v>
      </c>
      <c r="EN8" s="19" t="n">
        <v>55</v>
      </c>
    </row>
    <row r="9">
      <c r="A9" t="inlineStr">
        <is>
          <t>2025-12-31-S01010103000000</t>
        </is>
      </c>
      <c r="B9" t="inlineStr">
        <is>
          <t>2025-12-31</t>
        </is>
      </c>
      <c r="C9" t="inlineStr">
        <is>
          <t>S01010103000000</t>
        </is>
      </c>
      <c r="D9" s="17" t="inlineStr">
        <is>
          <t xml:space="preserve">　　　1.3. 信用卡贷款</t>
        </is>
      </c>
      <c r="E9" s="18" t="n">
        <v>4</v>
      </c>
      <c r="F9" t="inlineStr">
        <is>
          <t>S01010100000000</t>
        </is>
      </c>
      <c r="G9" t="n">
        <v>1</v>
      </c>
      <c r="H9" t="inlineStr">
        <is>
          <t>ASSET</t>
        </is>
      </c>
      <c r="I9" t="inlineStr">
        <is>
          <t>RSF</t>
        </is>
      </c>
      <c r="J9" t="n">
        <v>0.5</v>
      </c>
      <c r="K9" s="38" t="n">
        <v>2538540022554.338</v>
      </c>
      <c r="L9" s="39">
        <f>SUMPRODUCT($C75:$C134,$B$114:$B$173)+C135*$B$175+C136*$B$176+C137*$B$177+C138*$B$178</f>
        <v/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96000000000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144000000000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1920000000000</v>
      </c>
      <c r="BU9" s="19" t="n">
        <v>960000000000</v>
      </c>
      <c r="BV9" s="19" t="n">
        <v>480000000000</v>
      </c>
      <c r="BW9" s="19" t="n">
        <v>480000000000</v>
      </c>
      <c r="BX9" s="19" t="n">
        <v>112320000000</v>
      </c>
      <c r="BY9" s="19" t="n">
        <v>112320000000</v>
      </c>
      <c r="BZ9" s="19" t="n">
        <v>112320000000</v>
      </c>
      <c r="CA9" s="19" t="n">
        <v>112320000000</v>
      </c>
      <c r="CB9" s="19" t="n">
        <v>112320000000</v>
      </c>
      <c r="CC9" s="19" t="n">
        <v>112320000000</v>
      </c>
      <c r="CD9" s="19" t="n">
        <v>112320000000</v>
      </c>
      <c r="CE9" s="19" t="n">
        <v>112320000000</v>
      </c>
      <c r="CF9" s="19" t="n">
        <v>112320000000</v>
      </c>
      <c r="CG9" s="19" t="n">
        <v>112320000000</v>
      </c>
      <c r="CH9" s="19" t="n">
        <v>112320000000</v>
      </c>
      <c r="CI9" s="19" t="n">
        <v>112320000000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600000000000</v>
      </c>
      <c r="EG9" s="19" t="n">
        <v>300000000000</v>
      </c>
      <c r="EH9" s="19" t="n">
        <v>149760000000</v>
      </c>
      <c r="EI9" s="19" t="n">
        <v>149760000000</v>
      </c>
      <c r="EJ9" s="19" t="n">
        <v>4800000000000</v>
      </c>
      <c r="EK9" s="19" t="n">
        <v>4800000000000</v>
      </c>
      <c r="EL9" s="19" t="n">
        <v>12</v>
      </c>
      <c r="EM9" s="19" t="n">
        <v>48000000000</v>
      </c>
      <c r="EN9" s="19" t="n">
        <v>75</v>
      </c>
    </row>
    <row r="10">
      <c r="A10" t="inlineStr">
        <is>
          <t>2025-12-31-S01010104000000</t>
        </is>
      </c>
      <c r="B10" t="inlineStr">
        <is>
          <t>2025-12-31</t>
        </is>
      </c>
      <c r="C10" t="inlineStr">
        <is>
          <t>S01010104000000</t>
        </is>
      </c>
      <c r="D10" s="17" t="inlineStr">
        <is>
          <t xml:space="preserve">　　　1.4. 票据贴现</t>
        </is>
      </c>
      <c r="E10" s="18" t="n">
        <v>4</v>
      </c>
      <c r="F10" t="inlineStr">
        <is>
          <t>S01010100000000</t>
        </is>
      </c>
      <c r="G10" t="n">
        <v>1</v>
      </c>
      <c r="H10" t="inlineStr">
        <is>
          <t>ASSET</t>
        </is>
      </c>
      <c r="I10" t="inlineStr">
        <is>
          <t>RSF</t>
        </is>
      </c>
      <c r="J10" t="n">
        <v>0</v>
      </c>
      <c r="K10" s="38" t="n">
        <v>1692360015036.226</v>
      </c>
      <c r="L10" s="39">
        <f>SUMPRODUCT($C75:$C134,$B$114:$B$173)+C135*$B$175+C136*$B$176+C137*$B$177+C138*$B$178</f>
        <v/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64000000000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96000000000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1280000000000</v>
      </c>
      <c r="BU10" s="19" t="n">
        <v>640000000000</v>
      </c>
      <c r="BV10" s="19" t="n">
        <v>320000000000</v>
      </c>
      <c r="BW10" s="19" t="n">
        <v>320000000000</v>
      </c>
      <c r="BX10" s="19" t="n">
        <v>74880000000</v>
      </c>
      <c r="BY10" s="19" t="n">
        <v>74880000000</v>
      </c>
      <c r="BZ10" s="19" t="n">
        <v>74880000000</v>
      </c>
      <c r="CA10" s="19" t="n">
        <v>74880000000</v>
      </c>
      <c r="CB10" s="19" t="n">
        <v>74880000000</v>
      </c>
      <c r="CC10" s="19" t="n">
        <v>74880000000</v>
      </c>
      <c r="CD10" s="19" t="n">
        <v>74880000000</v>
      </c>
      <c r="CE10" s="19" t="n">
        <v>74880000000</v>
      </c>
      <c r="CF10" s="19" t="n">
        <v>74880000000</v>
      </c>
      <c r="CG10" s="19" t="n">
        <v>74880000000</v>
      </c>
      <c r="CH10" s="19" t="n">
        <v>74880000000</v>
      </c>
      <c r="CI10" s="19" t="n">
        <v>74880000000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</v>
      </c>
      <c r="DN10" s="19" t="n">
        <v>0</v>
      </c>
      <c r="DO10" s="19" t="n">
        <v>0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400000000000</v>
      </c>
      <c r="EG10" s="19" t="n">
        <v>200000000000</v>
      </c>
      <c r="EH10" s="19" t="n">
        <v>99840000000</v>
      </c>
      <c r="EI10" s="19" t="n">
        <v>99840000000</v>
      </c>
      <c r="EJ10" s="19" t="n">
        <v>3200000000000</v>
      </c>
      <c r="EK10" s="19" t="n">
        <v>3200000000000</v>
      </c>
      <c r="EL10" s="19" t="n">
        <v>2.5</v>
      </c>
      <c r="EM10" s="19" t="n">
        <v>6666666666.6667</v>
      </c>
      <c r="EN10" s="19" t="n">
        <v>100</v>
      </c>
    </row>
    <row r="11">
      <c r="A11" t="inlineStr">
        <is>
          <t>2025-12-31-S01010105000000</t>
        </is>
      </c>
      <c r="B11" t="inlineStr">
        <is>
          <t>2025-12-31</t>
        </is>
      </c>
      <c r="C11" t="inlineStr">
        <is>
          <t>S01010105000000</t>
        </is>
      </c>
      <c r="D11" s="17" t="inlineStr">
        <is>
          <t xml:space="preserve">　　　1.5. 非银贷款</t>
        </is>
      </c>
      <c r="E11" s="18" t="n">
        <v>4</v>
      </c>
      <c r="F11" t="inlineStr">
        <is>
          <t>S01010100000000</t>
        </is>
      </c>
      <c r="G11" t="n">
        <v>1</v>
      </c>
      <c r="H11" t="inlineStr">
        <is>
          <t>ASSET</t>
        </is>
      </c>
      <c r="I11" t="inlineStr">
        <is>
          <t>RSF</t>
        </is>
      </c>
      <c r="J11" t="n">
        <v>0.5</v>
      </c>
      <c r="K11" s="38" t="n">
        <v>2644312523494.103</v>
      </c>
      <c r="L11" s="39">
        <f>SUMPRODUCT($C75:$C134,$B$114:$B$173)+C135*$B$175+C136*$B$176+C137*$B$177+C138*$B$178</f>
        <v/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100000000000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150000000000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9" t="n">
        <v>0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2000000000000</v>
      </c>
      <c r="BU11" s="19" t="n">
        <v>1000000000000</v>
      </c>
      <c r="BV11" s="19" t="n">
        <v>500000000000</v>
      </c>
      <c r="BW11" s="19" t="n">
        <v>500000000000</v>
      </c>
      <c r="BX11" s="19" t="n">
        <v>117000000000</v>
      </c>
      <c r="BY11" s="19" t="n">
        <v>117000000000</v>
      </c>
      <c r="BZ11" s="19" t="n">
        <v>117000000000</v>
      </c>
      <c r="CA11" s="19" t="n">
        <v>117000000000</v>
      </c>
      <c r="CB11" s="19" t="n">
        <v>117000000000</v>
      </c>
      <c r="CC11" s="19" t="n">
        <v>117000000000</v>
      </c>
      <c r="CD11" s="19" t="n">
        <v>117000000000</v>
      </c>
      <c r="CE11" s="19" t="n">
        <v>117000000000</v>
      </c>
      <c r="CF11" s="19" t="n">
        <v>117000000000</v>
      </c>
      <c r="CG11" s="19" t="n">
        <v>117000000000</v>
      </c>
      <c r="CH11" s="19" t="n">
        <v>117000000000</v>
      </c>
      <c r="CI11" s="19" t="n">
        <v>117000000000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625000000000</v>
      </c>
      <c r="EG11" s="19" t="n">
        <v>312500000000</v>
      </c>
      <c r="EH11" s="19" t="n">
        <v>156000000000</v>
      </c>
      <c r="EI11" s="19" t="n">
        <v>156000000000</v>
      </c>
      <c r="EJ11" s="19" t="n">
        <v>5000000000000</v>
      </c>
      <c r="EK11" s="19" t="n">
        <v>5000000000000</v>
      </c>
      <c r="EL11" s="19" t="n">
        <v>4.5</v>
      </c>
      <c r="EM11" s="19" t="n">
        <v>18750000000</v>
      </c>
      <c r="EN11" s="19" t="n">
        <v>100</v>
      </c>
    </row>
    <row r="12">
      <c r="A12" t="inlineStr">
        <is>
          <t>2025-12-31-S01010200000000</t>
        </is>
      </c>
      <c r="B12" t="inlineStr">
        <is>
          <t>2025-12-31</t>
        </is>
      </c>
      <c r="C12" t="inlineStr">
        <is>
          <t>S01010200000000</t>
        </is>
      </c>
      <c r="D12" s="17" t="inlineStr">
        <is>
          <t xml:space="preserve">　　2. 人民币非信贷类业务</t>
        </is>
      </c>
      <c r="E12" s="18" t="n">
        <v>3</v>
      </c>
      <c r="F12" t="inlineStr">
        <is>
          <t>S01010000000000</t>
        </is>
      </c>
      <c r="G12" t="n">
        <v>0</v>
      </c>
      <c r="H12" t="inlineStr">
        <is>
          <t>ASSET</t>
        </is>
      </c>
      <c r="J12" t="n">
        <v>0</v>
      </c>
      <c r="K12" s="38" t="n">
        <v>21154500187952.82</v>
      </c>
      <c r="L12" s="39">
        <f>SUMPRODUCT($C75:$C134,$B$114:$B$173)+C135*$B$175+C136*$B$176+C137*$B$177+C138*$B$178</f>
        <v/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800000000000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1200000000000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16000000000000</v>
      </c>
      <c r="BU12" s="19" t="n">
        <v>8000000000000</v>
      </c>
      <c r="BV12" s="19" t="n">
        <v>4000000000000</v>
      </c>
      <c r="BW12" s="19" t="n">
        <v>4000000000000</v>
      </c>
      <c r="BX12" s="19" t="n">
        <v>936000000000</v>
      </c>
      <c r="BY12" s="19" t="n">
        <v>936000000000</v>
      </c>
      <c r="BZ12" s="19" t="n">
        <v>936000000000</v>
      </c>
      <c r="CA12" s="19" t="n">
        <v>936000000000</v>
      </c>
      <c r="CB12" s="19" t="n">
        <v>936000000000</v>
      </c>
      <c r="CC12" s="19" t="n">
        <v>936000000000</v>
      </c>
      <c r="CD12" s="19" t="n">
        <v>936000000000</v>
      </c>
      <c r="CE12" s="19" t="n">
        <v>936000000000</v>
      </c>
      <c r="CF12" s="19" t="n">
        <v>936000000000</v>
      </c>
      <c r="CG12" s="19" t="n">
        <v>936000000000</v>
      </c>
      <c r="CH12" s="19" t="n">
        <v>936000000000</v>
      </c>
      <c r="CI12" s="19" t="n">
        <v>936000000000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9" t="n">
        <v>0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5000000000000</v>
      </c>
      <c r="EG12" s="19" t="n">
        <v>2500000000000</v>
      </c>
      <c r="EH12" s="19" t="n">
        <v>1248000000000</v>
      </c>
      <c r="EI12" s="19" t="n">
        <v>1248000000000</v>
      </c>
      <c r="EJ12" s="19" t="n">
        <v>40000000000000</v>
      </c>
      <c r="EK12" s="19" t="n">
        <v>40000000000000</v>
      </c>
      <c r="EL12" s="19" t="n">
        <v>2.8</v>
      </c>
      <c r="EM12" s="19" t="n">
        <v>93333333333.3333</v>
      </c>
      <c r="EN12" s="19" t="n">
        <v>0</v>
      </c>
    </row>
    <row r="13">
      <c r="A13" t="inlineStr">
        <is>
          <t>2025-12-31-S01010201000000</t>
        </is>
      </c>
      <c r="B13" t="inlineStr">
        <is>
          <t>2025-12-31</t>
        </is>
      </c>
      <c r="C13" t="inlineStr">
        <is>
          <t>S01010201000000</t>
        </is>
      </c>
      <c r="D13" s="17" t="inlineStr">
        <is>
          <t xml:space="preserve">　　　2.1. 债券投资</t>
        </is>
      </c>
      <c r="E13" s="18" t="n">
        <v>4</v>
      </c>
      <c r="F13" t="inlineStr">
        <is>
          <t>S01010200000000</t>
        </is>
      </c>
      <c r="G13" t="n">
        <v>0</v>
      </c>
      <c r="H13" t="inlineStr">
        <is>
          <t>ASSET</t>
        </is>
      </c>
      <c r="J13" t="n">
        <v>0</v>
      </c>
      <c r="K13" s="38" t="n">
        <v>13221562617470.51</v>
      </c>
      <c r="L13" s="39">
        <f>SUMPRODUCT($C75:$C134,$B$114:$B$173)+C135*$B$175+C136*$B$176+C137*$B$177+C138*$B$178</f>
        <v/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500000000000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750000000000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10000000000000</v>
      </c>
      <c r="BU13" s="19" t="n">
        <v>5000000000000</v>
      </c>
      <c r="BV13" s="19" t="n">
        <v>2500000000000</v>
      </c>
      <c r="BW13" s="19" t="n">
        <v>2500000000000</v>
      </c>
      <c r="BX13" s="19" t="n">
        <v>585000000000</v>
      </c>
      <c r="BY13" s="19" t="n">
        <v>585000000000</v>
      </c>
      <c r="BZ13" s="19" t="n">
        <v>585000000000</v>
      </c>
      <c r="CA13" s="19" t="n">
        <v>585000000000</v>
      </c>
      <c r="CB13" s="19" t="n">
        <v>585000000000</v>
      </c>
      <c r="CC13" s="19" t="n">
        <v>585000000000</v>
      </c>
      <c r="CD13" s="19" t="n">
        <v>585000000000</v>
      </c>
      <c r="CE13" s="19" t="n">
        <v>585000000000</v>
      </c>
      <c r="CF13" s="19" t="n">
        <v>585000000000</v>
      </c>
      <c r="CG13" s="19" t="n">
        <v>585000000000</v>
      </c>
      <c r="CH13" s="19" t="n">
        <v>585000000000</v>
      </c>
      <c r="CI13" s="19" t="n">
        <v>585000000000</v>
      </c>
      <c r="CJ13" s="19" t="n">
        <v>0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9" t="n">
        <v>0</v>
      </c>
      <c r="CQ13" s="19" t="n">
        <v>0</v>
      </c>
      <c r="CR13" s="19" t="n">
        <v>0</v>
      </c>
      <c r="CS13" s="19" t="n">
        <v>0</v>
      </c>
      <c r="CT13" s="19" t="n">
        <v>0</v>
      </c>
      <c r="CU13" s="19" t="n">
        <v>0</v>
      </c>
      <c r="CV13" s="19" t="n">
        <v>0</v>
      </c>
      <c r="CW13" s="19" t="n">
        <v>0</v>
      </c>
      <c r="CX13" s="19" t="n">
        <v>0</v>
      </c>
      <c r="CY13" s="19" t="n">
        <v>0</v>
      </c>
      <c r="CZ13" s="19" t="n">
        <v>0</v>
      </c>
      <c r="DA13" s="19" t="n">
        <v>0</v>
      </c>
      <c r="DB13" s="19" t="n">
        <v>0</v>
      </c>
      <c r="DC13" s="19" t="n">
        <v>0</v>
      </c>
      <c r="DD13" s="19" t="n">
        <v>0</v>
      </c>
      <c r="DE13" s="19" t="n">
        <v>0</v>
      </c>
      <c r="DF13" s="19" t="n">
        <v>0</v>
      </c>
      <c r="DG13" s="19" t="n">
        <v>0</v>
      </c>
      <c r="DH13" s="19" t="n">
        <v>0</v>
      </c>
      <c r="DI13" s="19" t="n">
        <v>0</v>
      </c>
      <c r="DJ13" s="19" t="n">
        <v>0</v>
      </c>
      <c r="DK13" s="19" t="n">
        <v>0</v>
      </c>
      <c r="DL13" s="19" t="n">
        <v>0</v>
      </c>
      <c r="DM13" s="19" t="n">
        <v>0</v>
      </c>
      <c r="DN13" s="19" t="n">
        <v>0</v>
      </c>
      <c r="DO13" s="19" t="n">
        <v>0</v>
      </c>
      <c r="DP13" s="19" t="n">
        <v>0</v>
      </c>
      <c r="DQ13" s="19" t="n">
        <v>0</v>
      </c>
      <c r="DR13" s="19" t="n">
        <v>0</v>
      </c>
      <c r="DS13" s="19" t="n">
        <v>0</v>
      </c>
      <c r="DT13" s="19" t="n">
        <v>0</v>
      </c>
      <c r="DU13" s="19" t="n">
        <v>0</v>
      </c>
      <c r="DV13" s="19" t="n">
        <v>0</v>
      </c>
      <c r="DW13" s="19" t="n">
        <v>0</v>
      </c>
      <c r="DX13" s="19" t="n">
        <v>0</v>
      </c>
      <c r="DY13" s="19" t="n">
        <v>0</v>
      </c>
      <c r="DZ13" s="19" t="n">
        <v>0</v>
      </c>
      <c r="EA13" s="19" t="n">
        <v>0</v>
      </c>
      <c r="EB13" s="19" t="n">
        <v>0</v>
      </c>
      <c r="EC13" s="19" t="n">
        <v>0</v>
      </c>
      <c r="ED13" s="19" t="n">
        <v>0</v>
      </c>
      <c r="EE13" s="19" t="n">
        <v>0</v>
      </c>
      <c r="EF13" s="19" t="n">
        <v>3125000000000</v>
      </c>
      <c r="EG13" s="19" t="n">
        <v>1562500000000</v>
      </c>
      <c r="EH13" s="19" t="n">
        <v>780000000000</v>
      </c>
      <c r="EI13" s="19" t="n">
        <v>780000000000</v>
      </c>
      <c r="EJ13" s="19" t="n">
        <v>25000000000000</v>
      </c>
      <c r="EK13" s="19" t="n">
        <v>25000000000000</v>
      </c>
      <c r="EL13" s="19" t="n">
        <v>2.65</v>
      </c>
      <c r="EM13" s="19" t="n">
        <v>55208333333.3333</v>
      </c>
      <c r="EN13" s="19" t="n">
        <v>0</v>
      </c>
    </row>
    <row r="14">
      <c r="A14" t="inlineStr">
        <is>
          <t>2025-12-31-S010102010100</t>
        </is>
      </c>
      <c r="B14" t="inlineStr">
        <is>
          <t>2025-12-31</t>
        </is>
      </c>
      <c r="C14" t="inlineStr">
        <is>
          <t>S010102010100</t>
        </is>
      </c>
      <c r="D14" s="17" t="inlineStr">
        <is>
          <t xml:space="preserve">　　　　2.1.1 金市自营债券</t>
        </is>
      </c>
      <c r="E14" s="18" t="n">
        <v>5</v>
      </c>
      <c r="F14" t="inlineStr">
        <is>
          <t>S01010201000000</t>
        </is>
      </c>
      <c r="G14" t="n">
        <v>1</v>
      </c>
      <c r="H14" t="inlineStr">
        <is>
          <t>ASSET</t>
        </is>
      </c>
      <c r="I14" t="inlineStr">
        <is>
          <t>RSF</t>
        </is>
      </c>
      <c r="J14" t="n">
        <v>0</v>
      </c>
      <c r="K14" s="38" t="n">
        <v>7932937570482.308</v>
      </c>
      <c r="L14" s="39">
        <f>SUMPRODUCT($C75:$C134,$B$114:$B$173)+C135*$B$175+C136*$B$176+C137*$B$177+C138*$B$178</f>
        <v/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300000000000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450000000000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6000000000000</v>
      </c>
      <c r="BU14" s="19" t="n">
        <v>3000000000000</v>
      </c>
      <c r="BV14" s="19" t="n">
        <v>1500000000000</v>
      </c>
      <c r="BW14" s="19" t="n">
        <v>1500000000000</v>
      </c>
      <c r="BX14" s="19" t="n">
        <v>351000000000</v>
      </c>
      <c r="BY14" s="19" t="n">
        <v>351000000000</v>
      </c>
      <c r="BZ14" s="19" t="n">
        <v>351000000000</v>
      </c>
      <c r="CA14" s="19" t="n">
        <v>351000000000</v>
      </c>
      <c r="CB14" s="19" t="n">
        <v>351000000000</v>
      </c>
      <c r="CC14" s="19" t="n">
        <v>351000000000</v>
      </c>
      <c r="CD14" s="19" t="n">
        <v>351000000000</v>
      </c>
      <c r="CE14" s="19" t="n">
        <v>351000000000</v>
      </c>
      <c r="CF14" s="19" t="n">
        <v>351000000000</v>
      </c>
      <c r="CG14" s="19" t="n">
        <v>351000000000</v>
      </c>
      <c r="CH14" s="19" t="n">
        <v>351000000000</v>
      </c>
      <c r="CI14" s="19" t="n">
        <v>351000000000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19" t="n">
        <v>0</v>
      </c>
      <c r="DG14" s="19" t="n">
        <v>0</v>
      </c>
      <c r="DH14" s="19" t="n">
        <v>0</v>
      </c>
      <c r="DI14" s="19" t="n">
        <v>0</v>
      </c>
      <c r="DJ14" s="19" t="n">
        <v>0</v>
      </c>
      <c r="DK14" s="19" t="n">
        <v>0</v>
      </c>
      <c r="DL14" s="19" t="n">
        <v>0</v>
      </c>
      <c r="DM14" s="19" t="n">
        <v>0</v>
      </c>
      <c r="DN14" s="19" t="n">
        <v>0</v>
      </c>
      <c r="DO14" s="19" t="n">
        <v>0</v>
      </c>
      <c r="DP14" s="19" t="n">
        <v>0</v>
      </c>
      <c r="DQ14" s="19" t="n">
        <v>0</v>
      </c>
      <c r="DR14" s="19" t="n">
        <v>0</v>
      </c>
      <c r="DS14" s="19" t="n">
        <v>0</v>
      </c>
      <c r="DT14" s="19" t="n">
        <v>0</v>
      </c>
      <c r="DU14" s="19" t="n">
        <v>0</v>
      </c>
      <c r="DV14" s="19" t="n">
        <v>0</v>
      </c>
      <c r="DW14" s="19" t="n">
        <v>0</v>
      </c>
      <c r="DX14" s="19" t="n">
        <v>0</v>
      </c>
      <c r="DY14" s="19" t="n">
        <v>0</v>
      </c>
      <c r="DZ14" s="19" t="n">
        <v>0</v>
      </c>
      <c r="EA14" s="19" t="n">
        <v>0</v>
      </c>
      <c r="EB14" s="19" t="n">
        <v>0</v>
      </c>
      <c r="EC14" s="19" t="n">
        <v>0</v>
      </c>
      <c r="ED14" s="19" t="n">
        <v>0</v>
      </c>
      <c r="EE14" s="19" t="n">
        <v>0</v>
      </c>
      <c r="EF14" s="19" t="n">
        <v>1875000000000</v>
      </c>
      <c r="EG14" s="19" t="n">
        <v>937500000000</v>
      </c>
      <c r="EH14" s="19" t="n">
        <v>468000000000</v>
      </c>
      <c r="EI14" s="19" t="n">
        <v>468000000000</v>
      </c>
      <c r="EJ14" s="19" t="n">
        <v>15000000000000</v>
      </c>
      <c r="EK14" s="19" t="n">
        <v>15000000000000</v>
      </c>
      <c r="EL14" s="19" t="n">
        <v>2.55</v>
      </c>
      <c r="EM14" s="19" t="n">
        <v>31875000000</v>
      </c>
      <c r="EN14" s="19" t="n">
        <v>0</v>
      </c>
    </row>
    <row r="15">
      <c r="A15" t="inlineStr">
        <is>
          <t>2025-12-31-S010102010200</t>
        </is>
      </c>
      <c r="B15" t="inlineStr">
        <is>
          <t>2025-12-31</t>
        </is>
      </c>
      <c r="C15" t="inlineStr">
        <is>
          <t>S010102010200</t>
        </is>
      </c>
      <c r="D15" s="17" t="inlineStr">
        <is>
          <t xml:space="preserve">　　　　2.1.2 司库债券</t>
        </is>
      </c>
      <c r="E15" s="18" t="n">
        <v>5</v>
      </c>
      <c r="F15" t="inlineStr">
        <is>
          <t>S01010201000000</t>
        </is>
      </c>
      <c r="G15" t="n">
        <v>1</v>
      </c>
      <c r="H15" t="inlineStr">
        <is>
          <t>ASSET</t>
        </is>
      </c>
      <c r="I15" t="inlineStr">
        <is>
          <t>RSF</t>
        </is>
      </c>
      <c r="J15" t="n">
        <v>0</v>
      </c>
      <c r="K15" s="38" t="n">
        <v>5288625046988.205</v>
      </c>
      <c r="L15" s="39">
        <f>SUMPRODUCT($C75:$C134,$B$114:$B$173)+C135*$B$175+C136*$B$176+C137*$B$177+C138*$B$178</f>
        <v/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200000000000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300000000000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4000000000000</v>
      </c>
      <c r="BU15" s="19" t="n">
        <v>2000000000000</v>
      </c>
      <c r="BV15" s="19" t="n">
        <v>1000000000000</v>
      </c>
      <c r="BW15" s="19" t="n">
        <v>1000000000000</v>
      </c>
      <c r="BX15" s="19" t="n">
        <v>234000000000</v>
      </c>
      <c r="BY15" s="19" t="n">
        <v>234000000000</v>
      </c>
      <c r="BZ15" s="19" t="n">
        <v>234000000000</v>
      </c>
      <c r="CA15" s="19" t="n">
        <v>234000000000</v>
      </c>
      <c r="CB15" s="19" t="n">
        <v>234000000000</v>
      </c>
      <c r="CC15" s="19" t="n">
        <v>234000000000</v>
      </c>
      <c r="CD15" s="19" t="n">
        <v>234000000000</v>
      </c>
      <c r="CE15" s="19" t="n">
        <v>234000000000</v>
      </c>
      <c r="CF15" s="19" t="n">
        <v>234000000000</v>
      </c>
      <c r="CG15" s="19" t="n">
        <v>234000000000</v>
      </c>
      <c r="CH15" s="19" t="n">
        <v>234000000000</v>
      </c>
      <c r="CI15" s="19" t="n">
        <v>234000000000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19" t="n">
        <v>0</v>
      </c>
      <c r="DG15" s="19" t="n">
        <v>0</v>
      </c>
      <c r="DH15" s="19" t="n">
        <v>0</v>
      </c>
      <c r="DI15" s="19" t="n">
        <v>0</v>
      </c>
      <c r="DJ15" s="19" t="n">
        <v>0</v>
      </c>
      <c r="DK15" s="19" t="n">
        <v>0</v>
      </c>
      <c r="DL15" s="19" t="n">
        <v>0</v>
      </c>
      <c r="DM15" s="19" t="n">
        <v>0</v>
      </c>
      <c r="DN15" s="19" t="n">
        <v>0</v>
      </c>
      <c r="DO15" s="19" t="n">
        <v>0</v>
      </c>
      <c r="DP15" s="19" t="n">
        <v>0</v>
      </c>
      <c r="DQ15" s="19" t="n">
        <v>0</v>
      </c>
      <c r="DR15" s="19" t="n">
        <v>0</v>
      </c>
      <c r="DS15" s="19" t="n">
        <v>0</v>
      </c>
      <c r="DT15" s="19" t="n">
        <v>0</v>
      </c>
      <c r="DU15" s="19" t="n">
        <v>0</v>
      </c>
      <c r="DV15" s="19" t="n">
        <v>0</v>
      </c>
      <c r="DW15" s="19" t="n">
        <v>0</v>
      </c>
      <c r="DX15" s="19" t="n">
        <v>0</v>
      </c>
      <c r="DY15" s="19" t="n">
        <v>0</v>
      </c>
      <c r="DZ15" s="19" t="n">
        <v>0</v>
      </c>
      <c r="EA15" s="19" t="n">
        <v>0</v>
      </c>
      <c r="EB15" s="19" t="n">
        <v>0</v>
      </c>
      <c r="EC15" s="19" t="n">
        <v>0</v>
      </c>
      <c r="ED15" s="19" t="n">
        <v>0</v>
      </c>
      <c r="EE15" s="19" t="n">
        <v>0</v>
      </c>
      <c r="EF15" s="19" t="n">
        <v>1250000000000</v>
      </c>
      <c r="EG15" s="19" t="n">
        <v>625000000000</v>
      </c>
      <c r="EH15" s="19" t="n">
        <v>312000000000</v>
      </c>
      <c r="EI15" s="19" t="n">
        <v>312000000000</v>
      </c>
      <c r="EJ15" s="19" t="n">
        <v>10000000000000</v>
      </c>
      <c r="EK15" s="19" t="n">
        <v>10000000000000</v>
      </c>
      <c r="EL15" s="19" t="n">
        <v>2.85</v>
      </c>
      <c r="EM15" s="19" t="n">
        <v>23750000000</v>
      </c>
      <c r="EN15" s="19" t="n">
        <v>25</v>
      </c>
    </row>
    <row r="16">
      <c r="A16" t="inlineStr">
        <is>
          <t>2025-12-31-S01010202000000</t>
        </is>
      </c>
      <c r="B16" t="inlineStr">
        <is>
          <t>2025-12-31</t>
        </is>
      </c>
      <c r="C16" t="inlineStr">
        <is>
          <t>S01010202000000</t>
        </is>
      </c>
      <c r="D16" s="17" t="inlineStr">
        <is>
          <t xml:space="preserve">　　　2.2. 结构化融资</t>
        </is>
      </c>
      <c r="E16" s="18" t="n">
        <v>4</v>
      </c>
      <c r="F16" t="inlineStr">
        <is>
          <t>S01010200000000</t>
        </is>
      </c>
      <c r="G16" t="n">
        <v>1</v>
      </c>
      <c r="H16" t="inlineStr">
        <is>
          <t>ASSET</t>
        </is>
      </c>
      <c r="I16" t="inlineStr">
        <is>
          <t>RSF</t>
        </is>
      </c>
      <c r="J16" t="n">
        <v>0</v>
      </c>
      <c r="K16" s="38" t="n">
        <v>2644312523494.103</v>
      </c>
      <c r="L16" s="39">
        <f>SUMPRODUCT($C75:$C134,$B$114:$B$173)+C135*$B$175+C136*$B$176+C137*$B$177+C138*$B$178</f>
        <v/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100000000000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150000000000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2000000000000</v>
      </c>
      <c r="BU16" s="19" t="n">
        <v>1000000000000</v>
      </c>
      <c r="BV16" s="19" t="n">
        <v>500000000000</v>
      </c>
      <c r="BW16" s="19" t="n">
        <v>500000000000</v>
      </c>
      <c r="BX16" s="19" t="n">
        <v>117000000000</v>
      </c>
      <c r="BY16" s="19" t="n">
        <v>117000000000</v>
      </c>
      <c r="BZ16" s="19" t="n">
        <v>117000000000</v>
      </c>
      <c r="CA16" s="19" t="n">
        <v>117000000000</v>
      </c>
      <c r="CB16" s="19" t="n">
        <v>117000000000</v>
      </c>
      <c r="CC16" s="19" t="n">
        <v>117000000000</v>
      </c>
      <c r="CD16" s="19" t="n">
        <v>117000000000</v>
      </c>
      <c r="CE16" s="19" t="n">
        <v>117000000000</v>
      </c>
      <c r="CF16" s="19" t="n">
        <v>117000000000</v>
      </c>
      <c r="CG16" s="19" t="n">
        <v>117000000000</v>
      </c>
      <c r="CH16" s="19" t="n">
        <v>117000000000</v>
      </c>
      <c r="CI16" s="19" t="n">
        <v>117000000000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19" t="n">
        <v>0</v>
      </c>
      <c r="DG16" s="19" t="n">
        <v>0</v>
      </c>
      <c r="DH16" s="19" t="n">
        <v>0</v>
      </c>
      <c r="DI16" s="19" t="n">
        <v>0</v>
      </c>
      <c r="DJ16" s="19" t="n">
        <v>0</v>
      </c>
      <c r="DK16" s="19" t="n">
        <v>0</v>
      </c>
      <c r="DL16" s="19" t="n">
        <v>0</v>
      </c>
      <c r="DM16" s="19" t="n">
        <v>0</v>
      </c>
      <c r="DN16" s="19" t="n">
        <v>0</v>
      </c>
      <c r="DO16" s="19" t="n">
        <v>0</v>
      </c>
      <c r="DP16" s="19" t="n">
        <v>0</v>
      </c>
      <c r="DQ16" s="19" t="n">
        <v>0</v>
      </c>
      <c r="DR16" s="19" t="n">
        <v>0</v>
      </c>
      <c r="DS16" s="19" t="n">
        <v>0</v>
      </c>
      <c r="DT16" s="19" t="n">
        <v>0</v>
      </c>
      <c r="DU16" s="19" t="n">
        <v>0</v>
      </c>
      <c r="DV16" s="19" t="n">
        <v>0</v>
      </c>
      <c r="DW16" s="19" t="n">
        <v>0</v>
      </c>
      <c r="DX16" s="19" t="n">
        <v>0</v>
      </c>
      <c r="DY16" s="19" t="n">
        <v>0</v>
      </c>
      <c r="DZ16" s="19" t="n">
        <v>0</v>
      </c>
      <c r="EA16" s="19" t="n">
        <v>0</v>
      </c>
      <c r="EB16" s="19" t="n">
        <v>0</v>
      </c>
      <c r="EC16" s="19" t="n">
        <v>0</v>
      </c>
      <c r="ED16" s="19" t="n">
        <v>0</v>
      </c>
      <c r="EE16" s="19" t="n">
        <v>0</v>
      </c>
      <c r="EF16" s="19" t="n">
        <v>625000000000</v>
      </c>
      <c r="EG16" s="19" t="n">
        <v>312500000000</v>
      </c>
      <c r="EH16" s="19" t="n">
        <v>156000000000</v>
      </c>
      <c r="EI16" s="19" t="n">
        <v>156000000000</v>
      </c>
      <c r="EJ16" s="19" t="n">
        <v>5000000000000</v>
      </c>
      <c r="EK16" s="19" t="n">
        <v>5000000000000</v>
      </c>
      <c r="EL16" s="19" t="n">
        <v>3.8</v>
      </c>
      <c r="EM16" s="19" t="n">
        <v>15833333333.3333</v>
      </c>
      <c r="EN16" s="19" t="n">
        <v>100</v>
      </c>
    </row>
    <row r="17">
      <c r="A17" t="inlineStr">
        <is>
          <t>2025-12-31-S01010203000000</t>
        </is>
      </c>
      <c r="B17" t="inlineStr">
        <is>
          <t>2025-12-31</t>
        </is>
      </c>
      <c r="C17" t="inlineStr">
        <is>
          <t>S01010203000000</t>
        </is>
      </c>
      <c r="D17" s="17" t="inlineStr">
        <is>
          <t xml:space="preserve">　　　2.3. 同业资产（不含拆放非银）</t>
        </is>
      </c>
      <c r="E17" s="18" t="n">
        <v>4</v>
      </c>
      <c r="F17" t="inlineStr">
        <is>
          <t>S01010200000000</t>
        </is>
      </c>
      <c r="G17" t="n">
        <v>1</v>
      </c>
      <c r="H17" t="inlineStr">
        <is>
          <t>ASSET</t>
        </is>
      </c>
      <c r="I17" t="inlineStr">
        <is>
          <t>RSF</t>
        </is>
      </c>
      <c r="J17" t="n">
        <v>0</v>
      </c>
      <c r="K17" s="38" t="n">
        <v>3702037532891.743</v>
      </c>
      <c r="L17" s="39">
        <f>SUMPRODUCT($C75:$C134,$B$114:$B$173)+C135*$B$175+C136*$B$176+C137*$B$177+C138*$B$178</f>
        <v/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140000000000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210000000000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2800000000000</v>
      </c>
      <c r="BU17" s="19" t="n">
        <v>1400000000000</v>
      </c>
      <c r="BV17" s="19" t="n">
        <v>700000000000</v>
      </c>
      <c r="BW17" s="19" t="n">
        <v>700000000000</v>
      </c>
      <c r="BX17" s="19" t="n">
        <v>163800000000</v>
      </c>
      <c r="BY17" s="19" t="n">
        <v>163800000000</v>
      </c>
      <c r="BZ17" s="19" t="n">
        <v>163800000000</v>
      </c>
      <c r="CA17" s="19" t="n">
        <v>163800000000</v>
      </c>
      <c r="CB17" s="19" t="n">
        <v>163800000000</v>
      </c>
      <c r="CC17" s="19" t="n">
        <v>163800000000</v>
      </c>
      <c r="CD17" s="19" t="n">
        <v>163800000000</v>
      </c>
      <c r="CE17" s="19" t="n">
        <v>163800000000</v>
      </c>
      <c r="CF17" s="19" t="n">
        <v>163800000000</v>
      </c>
      <c r="CG17" s="19" t="n">
        <v>163800000000</v>
      </c>
      <c r="CH17" s="19" t="n">
        <v>163800000000</v>
      </c>
      <c r="CI17" s="19" t="n">
        <v>163800000000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19" t="n">
        <v>0</v>
      </c>
      <c r="DG17" s="19" t="n">
        <v>0</v>
      </c>
      <c r="DH17" s="19" t="n">
        <v>0</v>
      </c>
      <c r="DI17" s="19" t="n">
        <v>0</v>
      </c>
      <c r="DJ17" s="19" t="n">
        <v>0</v>
      </c>
      <c r="DK17" s="19" t="n">
        <v>0</v>
      </c>
      <c r="DL17" s="19" t="n">
        <v>0</v>
      </c>
      <c r="DM17" s="19" t="n">
        <v>0</v>
      </c>
      <c r="DN17" s="19" t="n">
        <v>0</v>
      </c>
      <c r="DO17" s="19" t="n">
        <v>0</v>
      </c>
      <c r="DP17" s="19" t="n">
        <v>0</v>
      </c>
      <c r="DQ17" s="19" t="n">
        <v>0</v>
      </c>
      <c r="DR17" s="19" t="n">
        <v>0</v>
      </c>
      <c r="DS17" s="19" t="n">
        <v>0</v>
      </c>
      <c r="DT17" s="19" t="n">
        <v>0</v>
      </c>
      <c r="DU17" s="19" t="n">
        <v>0</v>
      </c>
      <c r="DV17" s="19" t="n">
        <v>0</v>
      </c>
      <c r="DW17" s="19" t="n">
        <v>0</v>
      </c>
      <c r="DX17" s="19" t="n">
        <v>0</v>
      </c>
      <c r="DY17" s="19" t="n">
        <v>0</v>
      </c>
      <c r="DZ17" s="19" t="n">
        <v>0</v>
      </c>
      <c r="EA17" s="19" t="n">
        <v>0</v>
      </c>
      <c r="EB17" s="19" t="n">
        <v>0</v>
      </c>
      <c r="EC17" s="19" t="n">
        <v>0</v>
      </c>
      <c r="ED17" s="19" t="n">
        <v>0</v>
      </c>
      <c r="EE17" s="19" t="n">
        <v>0</v>
      </c>
      <c r="EF17" s="19" t="n">
        <v>875000000000</v>
      </c>
      <c r="EG17" s="19" t="n">
        <v>437500000000</v>
      </c>
      <c r="EH17" s="19" t="n">
        <v>218400000000</v>
      </c>
      <c r="EI17" s="19" t="n">
        <v>218400000000</v>
      </c>
      <c r="EJ17" s="19" t="n">
        <v>7000000000000</v>
      </c>
      <c r="EK17" s="19" t="n">
        <v>7000000000000</v>
      </c>
      <c r="EL17" s="19" t="n">
        <v>2.3</v>
      </c>
      <c r="EM17" s="19" t="n">
        <v>13416666666.6667</v>
      </c>
      <c r="EN17" s="19" t="n">
        <v>20</v>
      </c>
    </row>
    <row r="18">
      <c r="A18" t="inlineStr">
        <is>
          <t>2025-12-31-S01010204000000</t>
        </is>
      </c>
      <c r="B18" t="inlineStr">
        <is>
          <t>2025-12-31</t>
        </is>
      </c>
      <c r="C18" t="inlineStr">
        <is>
          <t>S01010204000000</t>
        </is>
      </c>
      <c r="D18" s="17" t="inlineStr">
        <is>
          <t xml:space="preserve">　　　2.4. 存款准备金</t>
        </is>
      </c>
      <c r="E18" s="18" t="n">
        <v>4</v>
      </c>
      <c r="F18" t="inlineStr">
        <is>
          <t>S01010200000000</t>
        </is>
      </c>
      <c r="G18" t="n">
        <v>1</v>
      </c>
      <c r="H18" t="inlineStr">
        <is>
          <t>ASSET</t>
        </is>
      </c>
      <c r="I18" t="inlineStr">
        <is>
          <t>RSF</t>
        </is>
      </c>
      <c r="J18" t="n">
        <v>0</v>
      </c>
      <c r="K18" s="38" t="n">
        <v>1586587514096.461</v>
      </c>
      <c r="L18" s="39">
        <f>SUMPRODUCT($C75:$C134,$B$114:$B$173)+C135*$B$175+C136*$B$176+C137*$B$177+C138*$B$178</f>
        <v/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60000000000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90000000000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>
        <v>0</v>
      </c>
      <c r="AI18" s="19" t="n">
        <v>0</v>
      </c>
      <c r="AJ18" s="19" t="n">
        <v>0</v>
      </c>
      <c r="AK18" s="19" t="n">
        <v>0</v>
      </c>
      <c r="AL18" s="19" t="n">
        <v>0</v>
      </c>
      <c r="AM18" s="19" t="n">
        <v>0</v>
      </c>
      <c r="AN18" s="19" t="n">
        <v>0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1200000000000</v>
      </c>
      <c r="BU18" s="19" t="n">
        <v>600000000000</v>
      </c>
      <c r="BV18" s="19" t="n">
        <v>300000000000</v>
      </c>
      <c r="BW18" s="19" t="n">
        <v>300000000000</v>
      </c>
      <c r="BX18" s="19" t="n">
        <v>70200000000</v>
      </c>
      <c r="BY18" s="19" t="n">
        <v>70200000000</v>
      </c>
      <c r="BZ18" s="19" t="n">
        <v>70200000000</v>
      </c>
      <c r="CA18" s="19" t="n">
        <v>70200000000</v>
      </c>
      <c r="CB18" s="19" t="n">
        <v>70200000000</v>
      </c>
      <c r="CC18" s="19" t="n">
        <v>70200000000</v>
      </c>
      <c r="CD18" s="19" t="n">
        <v>70200000000</v>
      </c>
      <c r="CE18" s="19" t="n">
        <v>70200000000</v>
      </c>
      <c r="CF18" s="19" t="n">
        <v>70200000000</v>
      </c>
      <c r="CG18" s="19" t="n">
        <v>70200000000</v>
      </c>
      <c r="CH18" s="19" t="n">
        <v>70200000000</v>
      </c>
      <c r="CI18" s="19" t="n">
        <v>70200000000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  <c r="DF18" s="19" t="n">
        <v>0</v>
      </c>
      <c r="DG18" s="19" t="n">
        <v>0</v>
      </c>
      <c r="DH18" s="19" t="n">
        <v>0</v>
      </c>
      <c r="DI18" s="19" t="n">
        <v>0</v>
      </c>
      <c r="DJ18" s="19" t="n">
        <v>0</v>
      </c>
      <c r="DK18" s="19" t="n">
        <v>0</v>
      </c>
      <c r="DL18" s="19" t="n">
        <v>0</v>
      </c>
      <c r="DM18" s="19" t="n">
        <v>0</v>
      </c>
      <c r="DN18" s="19" t="n">
        <v>0</v>
      </c>
      <c r="DO18" s="19" t="n">
        <v>0</v>
      </c>
      <c r="DP18" s="19" t="n">
        <v>0</v>
      </c>
      <c r="DQ18" s="19" t="n">
        <v>0</v>
      </c>
      <c r="DR18" s="19" t="n">
        <v>0</v>
      </c>
      <c r="DS18" s="19" t="n">
        <v>0</v>
      </c>
      <c r="DT18" s="19" t="n">
        <v>0</v>
      </c>
      <c r="DU18" s="19" t="n">
        <v>0</v>
      </c>
      <c r="DV18" s="19" t="n">
        <v>0</v>
      </c>
      <c r="DW18" s="19" t="n">
        <v>0</v>
      </c>
      <c r="DX18" s="19" t="n">
        <v>0</v>
      </c>
      <c r="DY18" s="19" t="n">
        <v>0</v>
      </c>
      <c r="DZ18" s="19" t="n">
        <v>0</v>
      </c>
      <c r="EA18" s="19" t="n">
        <v>0</v>
      </c>
      <c r="EB18" s="19" t="n">
        <v>0</v>
      </c>
      <c r="EC18" s="19" t="n">
        <v>0</v>
      </c>
      <c r="ED18" s="19" t="n">
        <v>0</v>
      </c>
      <c r="EE18" s="19" t="n">
        <v>0</v>
      </c>
      <c r="EF18" s="19" t="n">
        <v>375000000000</v>
      </c>
      <c r="EG18" s="19" t="n">
        <v>187500000000</v>
      </c>
      <c r="EH18" s="19" t="n">
        <v>93600000000</v>
      </c>
      <c r="EI18" s="19" t="n">
        <v>93600000000</v>
      </c>
      <c r="EJ18" s="19" t="n">
        <v>3000000000000</v>
      </c>
      <c r="EK18" s="19" t="n">
        <v>3000000000000</v>
      </c>
      <c r="EL18" s="19" t="n">
        <v>1.62</v>
      </c>
      <c r="EM18" s="19" t="n">
        <v>4050000000</v>
      </c>
      <c r="EN18" s="19" t="n">
        <v>0</v>
      </c>
    </row>
    <row r="19">
      <c r="A19" t="inlineStr">
        <is>
          <t>2025-12-31-S01010300000000</t>
        </is>
      </c>
      <c r="B19" t="inlineStr">
        <is>
          <t>2025-12-31</t>
        </is>
      </c>
      <c r="C19" t="inlineStr">
        <is>
          <t>S01010300000000</t>
        </is>
      </c>
      <c r="D19" s="17" t="inlineStr">
        <is>
          <t xml:space="preserve">　　3. 人民币非生息资产</t>
        </is>
      </c>
      <c r="E19" s="18" t="n">
        <v>3</v>
      </c>
      <c r="F19" t="inlineStr">
        <is>
          <t>S01010000000000</t>
        </is>
      </c>
      <c r="G19" t="n">
        <v>0</v>
      </c>
      <c r="H19" t="inlineStr">
        <is>
          <t>ASSET</t>
        </is>
      </c>
      <c r="J19" t="n">
        <v>0</v>
      </c>
      <c r="K19" s="38" t="n">
        <v>2644312523494.103</v>
      </c>
      <c r="L19" s="39">
        <f>SUMPRODUCT($C75:$C134,$B$114:$B$173)+C135*$B$175+C136*$B$176+C137*$B$177+C138*$B$178</f>
        <v/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100000000000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150000000000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2000000000000</v>
      </c>
      <c r="BU19" s="19" t="n">
        <v>1000000000000</v>
      </c>
      <c r="BV19" s="19" t="n">
        <v>500000000000</v>
      </c>
      <c r="BW19" s="19" t="n">
        <v>500000000000</v>
      </c>
      <c r="BX19" s="19" t="n">
        <v>117000000000</v>
      </c>
      <c r="BY19" s="19" t="n">
        <v>117000000000</v>
      </c>
      <c r="BZ19" s="19" t="n">
        <v>117000000000</v>
      </c>
      <c r="CA19" s="19" t="n">
        <v>117000000000</v>
      </c>
      <c r="CB19" s="19" t="n">
        <v>117000000000</v>
      </c>
      <c r="CC19" s="19" t="n">
        <v>117000000000</v>
      </c>
      <c r="CD19" s="19" t="n">
        <v>117000000000</v>
      </c>
      <c r="CE19" s="19" t="n">
        <v>117000000000</v>
      </c>
      <c r="CF19" s="19" t="n">
        <v>117000000000</v>
      </c>
      <c r="CG19" s="19" t="n">
        <v>117000000000</v>
      </c>
      <c r="CH19" s="19" t="n">
        <v>117000000000</v>
      </c>
      <c r="CI19" s="19" t="n">
        <v>117000000000</v>
      </c>
      <c r="CJ19" s="19" t="n">
        <v>0</v>
      </c>
      <c r="CK19" s="19" t="n">
        <v>0</v>
      </c>
      <c r="CL19" s="19" t="n">
        <v>0</v>
      </c>
      <c r="CM19" s="19" t="n">
        <v>0</v>
      </c>
      <c r="CN19" s="19" t="n">
        <v>0</v>
      </c>
      <c r="CO19" s="19" t="n">
        <v>0</v>
      </c>
      <c r="CP19" s="19" t="n">
        <v>0</v>
      </c>
      <c r="CQ19" s="19" t="n">
        <v>0</v>
      </c>
      <c r="CR19" s="19" t="n">
        <v>0</v>
      </c>
      <c r="CS19" s="19" t="n">
        <v>0</v>
      </c>
      <c r="CT19" s="19" t="n">
        <v>0</v>
      </c>
      <c r="CU19" s="19" t="n">
        <v>0</v>
      </c>
      <c r="CV19" s="19" t="n">
        <v>0</v>
      </c>
      <c r="CW19" s="19" t="n">
        <v>0</v>
      </c>
      <c r="CX19" s="19" t="n">
        <v>0</v>
      </c>
      <c r="CY19" s="19" t="n">
        <v>0</v>
      </c>
      <c r="CZ19" s="19" t="n">
        <v>0</v>
      </c>
      <c r="DA19" s="19" t="n">
        <v>0</v>
      </c>
      <c r="DB19" s="19" t="n">
        <v>0</v>
      </c>
      <c r="DC19" s="19" t="n">
        <v>0</v>
      </c>
      <c r="DD19" s="19" t="n">
        <v>0</v>
      </c>
      <c r="DE19" s="19" t="n">
        <v>0</v>
      </c>
      <c r="DF19" s="19" t="n">
        <v>0</v>
      </c>
      <c r="DG19" s="19" t="n">
        <v>0</v>
      </c>
      <c r="DH19" s="19" t="n">
        <v>0</v>
      </c>
      <c r="DI19" s="19" t="n">
        <v>0</v>
      </c>
      <c r="DJ19" s="19" t="n">
        <v>0</v>
      </c>
      <c r="DK19" s="19" t="n">
        <v>0</v>
      </c>
      <c r="DL19" s="19" t="n">
        <v>0</v>
      </c>
      <c r="DM19" s="19" t="n">
        <v>0</v>
      </c>
      <c r="DN19" s="19" t="n">
        <v>0</v>
      </c>
      <c r="DO19" s="19" t="n">
        <v>0</v>
      </c>
      <c r="DP19" s="19" t="n">
        <v>0</v>
      </c>
      <c r="DQ19" s="19" t="n">
        <v>0</v>
      </c>
      <c r="DR19" s="19" t="n">
        <v>0</v>
      </c>
      <c r="DS19" s="19" t="n">
        <v>0</v>
      </c>
      <c r="DT19" s="19" t="n">
        <v>0</v>
      </c>
      <c r="DU19" s="19" t="n">
        <v>0</v>
      </c>
      <c r="DV19" s="19" t="n">
        <v>0</v>
      </c>
      <c r="DW19" s="19" t="n">
        <v>0</v>
      </c>
      <c r="DX19" s="19" t="n">
        <v>0</v>
      </c>
      <c r="DY19" s="19" t="n">
        <v>0</v>
      </c>
      <c r="DZ19" s="19" t="n">
        <v>0</v>
      </c>
      <c r="EA19" s="19" t="n">
        <v>0</v>
      </c>
      <c r="EB19" s="19" t="n">
        <v>0</v>
      </c>
      <c r="EC19" s="19" t="n">
        <v>0</v>
      </c>
      <c r="ED19" s="19" t="n">
        <v>0</v>
      </c>
      <c r="EE19" s="19" t="n">
        <v>0</v>
      </c>
      <c r="EF19" s="19" t="n">
        <v>625000000000</v>
      </c>
      <c r="EG19" s="19" t="n">
        <v>312500000000</v>
      </c>
      <c r="EH19" s="19" t="n">
        <v>156000000000</v>
      </c>
      <c r="EI19" s="19" t="n">
        <v>156000000000</v>
      </c>
      <c r="EJ19" s="19" t="n">
        <v>5000000000000</v>
      </c>
      <c r="EK19" s="19" t="n">
        <v>5000000000000</v>
      </c>
      <c r="EL19" s="19" t="n">
        <v>0</v>
      </c>
      <c r="EM19" s="19" t="n">
        <v>0</v>
      </c>
      <c r="EN19" s="19" t="n">
        <v>0</v>
      </c>
    </row>
    <row r="20">
      <c r="A20" t="inlineStr">
        <is>
          <t>2025-12-31-S01010301000000</t>
        </is>
      </c>
      <c r="B20" t="inlineStr">
        <is>
          <t>2025-12-31</t>
        </is>
      </c>
      <c r="C20" t="inlineStr">
        <is>
          <t>S01010301000000</t>
        </is>
      </c>
      <c r="D20" s="17" t="inlineStr">
        <is>
          <t xml:space="preserve">　　　3.1. FVTPL类资产</t>
        </is>
      </c>
      <c r="E20" s="18" t="n">
        <v>4</v>
      </c>
      <c r="F20" t="inlineStr">
        <is>
          <t>S01010300000000</t>
        </is>
      </c>
      <c r="G20" t="n">
        <v>1</v>
      </c>
      <c r="H20" t="inlineStr">
        <is>
          <t>ASSET</t>
        </is>
      </c>
      <c r="I20" t="inlineStr">
        <is>
          <t>RSF</t>
        </is>
      </c>
      <c r="J20" t="n">
        <v>0</v>
      </c>
      <c r="K20" s="38" t="n">
        <v>1586587514096.461</v>
      </c>
      <c r="L20" s="39">
        <f>SUMPRODUCT($C75:$C134,$B$114:$B$173)+C135*$B$175+C136*$B$176+C137*$B$177+C138*$B$178</f>
        <v/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60000000000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90000000000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>
        <v>0</v>
      </c>
      <c r="AI20" s="19" t="n">
        <v>0</v>
      </c>
      <c r="AJ20" s="19" t="n">
        <v>0</v>
      </c>
      <c r="AK20" s="19" t="n">
        <v>0</v>
      </c>
      <c r="AL20" s="19" t="n">
        <v>0</v>
      </c>
      <c r="AM20" s="19" t="n">
        <v>0</v>
      </c>
      <c r="AN20" s="19" t="n">
        <v>0</v>
      </c>
      <c r="AO20" s="19" t="n">
        <v>0</v>
      </c>
      <c r="AP20" s="19" t="n">
        <v>0</v>
      </c>
      <c r="AQ20" s="19" t="n">
        <v>0</v>
      </c>
      <c r="AR20" s="19" t="n">
        <v>0</v>
      </c>
      <c r="AS20" s="19" t="n">
        <v>0</v>
      </c>
      <c r="AT20" s="19" t="n">
        <v>0</v>
      </c>
      <c r="AU20" s="19" t="n">
        <v>0</v>
      </c>
      <c r="AV20" s="19" t="n">
        <v>0</v>
      </c>
      <c r="AW20" s="19" t="n">
        <v>0</v>
      </c>
      <c r="AX20" s="19" t="n">
        <v>0</v>
      </c>
      <c r="AY20" s="19" t="n">
        <v>0</v>
      </c>
      <c r="AZ20" s="19" t="n">
        <v>0</v>
      </c>
      <c r="BA20" s="19" t="n">
        <v>0</v>
      </c>
      <c r="BB20" s="19" t="n">
        <v>0</v>
      </c>
      <c r="BC20" s="19" t="n">
        <v>0</v>
      </c>
      <c r="BD20" s="19" t="n">
        <v>0</v>
      </c>
      <c r="BE20" s="19" t="n">
        <v>0</v>
      </c>
      <c r="BF20" s="19" t="n">
        <v>0</v>
      </c>
      <c r="BG20" s="19" t="n">
        <v>0</v>
      </c>
      <c r="BH20" s="19" t="n">
        <v>0</v>
      </c>
      <c r="BI20" s="19" t="n">
        <v>0</v>
      </c>
      <c r="BJ20" s="19" t="n">
        <v>0</v>
      </c>
      <c r="BK20" s="19" t="n">
        <v>0</v>
      </c>
      <c r="BL20" s="19" t="n">
        <v>0</v>
      </c>
      <c r="BM20" s="19" t="n">
        <v>0</v>
      </c>
      <c r="BN20" s="19" t="n">
        <v>0</v>
      </c>
      <c r="BO20" s="19" t="n">
        <v>0</v>
      </c>
      <c r="BP20" s="19" t="n">
        <v>0</v>
      </c>
      <c r="BQ20" s="19" t="n">
        <v>0</v>
      </c>
      <c r="BR20" s="19" t="n">
        <v>0</v>
      </c>
      <c r="BS20" s="19" t="n">
        <v>0</v>
      </c>
      <c r="BT20" s="19" t="n">
        <v>1200000000000</v>
      </c>
      <c r="BU20" s="19" t="n">
        <v>600000000000</v>
      </c>
      <c r="BV20" s="19" t="n">
        <v>300000000000</v>
      </c>
      <c r="BW20" s="19" t="n">
        <v>300000000000</v>
      </c>
      <c r="BX20" s="19" t="n">
        <v>70200000000</v>
      </c>
      <c r="BY20" s="19" t="n">
        <v>70200000000</v>
      </c>
      <c r="BZ20" s="19" t="n">
        <v>70200000000</v>
      </c>
      <c r="CA20" s="19" t="n">
        <v>70200000000</v>
      </c>
      <c r="CB20" s="19" t="n">
        <v>70200000000</v>
      </c>
      <c r="CC20" s="19" t="n">
        <v>70200000000</v>
      </c>
      <c r="CD20" s="19" t="n">
        <v>70200000000</v>
      </c>
      <c r="CE20" s="19" t="n">
        <v>70200000000</v>
      </c>
      <c r="CF20" s="19" t="n">
        <v>70200000000</v>
      </c>
      <c r="CG20" s="19" t="n">
        <v>70200000000</v>
      </c>
      <c r="CH20" s="19" t="n">
        <v>70200000000</v>
      </c>
      <c r="CI20" s="19" t="n">
        <v>70200000000</v>
      </c>
      <c r="CJ20" s="19" t="n">
        <v>0</v>
      </c>
      <c r="CK20" s="19" t="n">
        <v>0</v>
      </c>
      <c r="CL20" s="19" t="n">
        <v>0</v>
      </c>
      <c r="CM20" s="19" t="n">
        <v>0</v>
      </c>
      <c r="CN20" s="19" t="n">
        <v>0</v>
      </c>
      <c r="CO20" s="19" t="n">
        <v>0</v>
      </c>
      <c r="CP20" s="19" t="n">
        <v>0</v>
      </c>
      <c r="CQ20" s="19" t="n">
        <v>0</v>
      </c>
      <c r="CR20" s="19" t="n">
        <v>0</v>
      </c>
      <c r="CS20" s="19" t="n">
        <v>0</v>
      </c>
      <c r="CT20" s="19" t="n">
        <v>0</v>
      </c>
      <c r="CU20" s="19" t="n">
        <v>0</v>
      </c>
      <c r="CV20" s="19" t="n">
        <v>0</v>
      </c>
      <c r="CW20" s="19" t="n">
        <v>0</v>
      </c>
      <c r="CX20" s="19" t="n">
        <v>0</v>
      </c>
      <c r="CY20" s="19" t="n">
        <v>0</v>
      </c>
      <c r="CZ20" s="19" t="n">
        <v>0</v>
      </c>
      <c r="DA20" s="19" t="n">
        <v>0</v>
      </c>
      <c r="DB20" s="19" t="n">
        <v>0</v>
      </c>
      <c r="DC20" s="19" t="n">
        <v>0</v>
      </c>
      <c r="DD20" s="19" t="n">
        <v>0</v>
      </c>
      <c r="DE20" s="19" t="n">
        <v>0</v>
      </c>
      <c r="DF20" s="19" t="n">
        <v>0</v>
      </c>
      <c r="DG20" s="19" t="n">
        <v>0</v>
      </c>
      <c r="DH20" s="19" t="n">
        <v>0</v>
      </c>
      <c r="DI20" s="19" t="n">
        <v>0</v>
      </c>
      <c r="DJ20" s="19" t="n">
        <v>0</v>
      </c>
      <c r="DK20" s="19" t="n">
        <v>0</v>
      </c>
      <c r="DL20" s="19" t="n">
        <v>0</v>
      </c>
      <c r="DM20" s="19" t="n">
        <v>0</v>
      </c>
      <c r="DN20" s="19" t="n">
        <v>0</v>
      </c>
      <c r="DO20" s="19" t="n">
        <v>0</v>
      </c>
      <c r="DP20" s="19" t="n">
        <v>0</v>
      </c>
      <c r="DQ20" s="19" t="n">
        <v>0</v>
      </c>
      <c r="DR20" s="19" t="n">
        <v>0</v>
      </c>
      <c r="DS20" s="19" t="n">
        <v>0</v>
      </c>
      <c r="DT20" s="19" t="n">
        <v>0</v>
      </c>
      <c r="DU20" s="19" t="n">
        <v>0</v>
      </c>
      <c r="DV20" s="19" t="n">
        <v>0</v>
      </c>
      <c r="DW20" s="19" t="n">
        <v>0</v>
      </c>
      <c r="DX20" s="19" t="n">
        <v>0</v>
      </c>
      <c r="DY20" s="19" t="n">
        <v>0</v>
      </c>
      <c r="DZ20" s="19" t="n">
        <v>0</v>
      </c>
      <c r="EA20" s="19" t="n">
        <v>0</v>
      </c>
      <c r="EB20" s="19" t="n">
        <v>0</v>
      </c>
      <c r="EC20" s="19" t="n">
        <v>0</v>
      </c>
      <c r="ED20" s="19" t="n">
        <v>0</v>
      </c>
      <c r="EE20" s="19" t="n">
        <v>0</v>
      </c>
      <c r="EF20" s="19" t="n">
        <v>375000000000</v>
      </c>
      <c r="EG20" s="19" t="n">
        <v>187500000000</v>
      </c>
      <c r="EH20" s="19" t="n">
        <v>93600000000</v>
      </c>
      <c r="EI20" s="19" t="n">
        <v>93600000000</v>
      </c>
      <c r="EJ20" s="19" t="n">
        <v>3000000000000</v>
      </c>
      <c r="EK20" s="19" t="n">
        <v>3000000000000</v>
      </c>
      <c r="EL20" s="19" t="n">
        <v>3.2</v>
      </c>
      <c r="EM20" s="19" t="n">
        <v>8000000000</v>
      </c>
      <c r="EN20" s="19" t="n">
        <v>100</v>
      </c>
    </row>
    <row r="21">
      <c r="A21" t="inlineStr">
        <is>
          <t>2025-12-31-S01010302000000</t>
        </is>
      </c>
      <c r="B21" t="inlineStr">
        <is>
          <t>2025-12-31</t>
        </is>
      </c>
      <c r="C21" t="inlineStr">
        <is>
          <t>S01010302000000</t>
        </is>
      </c>
      <c r="D21" s="17" t="inlineStr">
        <is>
          <t xml:space="preserve">　　　3.2. 其他非生息资产</t>
        </is>
      </c>
      <c r="E21" s="18" t="n">
        <v>4</v>
      </c>
      <c r="F21" t="inlineStr">
        <is>
          <t>S01010300000000</t>
        </is>
      </c>
      <c r="G21" t="n">
        <v>1</v>
      </c>
      <c r="H21" t="inlineStr">
        <is>
          <t>ASSET</t>
        </is>
      </c>
      <c r="I21" t="inlineStr">
        <is>
          <t>RSF</t>
        </is>
      </c>
      <c r="J21" t="n">
        <v>0</v>
      </c>
      <c r="K21" s="38" t="n">
        <v>1057725009397.641</v>
      </c>
      <c r="L21" s="39">
        <f>SUMPRODUCT($C75:$C134,$B$114:$B$173)+C135*$B$175+C136*$B$176+C137*$B$177+C138*$B$178</f>
        <v/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40000000000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60000000000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800000000000</v>
      </c>
      <c r="BU21" s="19" t="n">
        <v>400000000000</v>
      </c>
      <c r="BV21" s="19" t="n">
        <v>200000000000</v>
      </c>
      <c r="BW21" s="19" t="n">
        <v>200000000000</v>
      </c>
      <c r="BX21" s="19" t="n">
        <v>46800000000</v>
      </c>
      <c r="BY21" s="19" t="n">
        <v>46800000000</v>
      </c>
      <c r="BZ21" s="19" t="n">
        <v>46800000000</v>
      </c>
      <c r="CA21" s="19" t="n">
        <v>46800000000</v>
      </c>
      <c r="CB21" s="19" t="n">
        <v>46800000000</v>
      </c>
      <c r="CC21" s="19" t="n">
        <v>46800000000</v>
      </c>
      <c r="CD21" s="19" t="n">
        <v>46800000000</v>
      </c>
      <c r="CE21" s="19" t="n">
        <v>46800000000</v>
      </c>
      <c r="CF21" s="19" t="n">
        <v>46800000000</v>
      </c>
      <c r="CG21" s="19" t="n">
        <v>46800000000</v>
      </c>
      <c r="CH21" s="19" t="n">
        <v>46800000000</v>
      </c>
      <c r="CI21" s="19" t="n">
        <v>46800000000</v>
      </c>
      <c r="CJ21" s="19" t="n">
        <v>0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9" t="n">
        <v>0</v>
      </c>
      <c r="CS21" s="19" t="n">
        <v>0</v>
      </c>
      <c r="CT21" s="19" t="n">
        <v>0</v>
      </c>
      <c r="CU21" s="19" t="n">
        <v>0</v>
      </c>
      <c r="CV21" s="19" t="n">
        <v>0</v>
      </c>
      <c r="CW21" s="19" t="n">
        <v>0</v>
      </c>
      <c r="CX21" s="19" t="n">
        <v>0</v>
      </c>
      <c r="CY21" s="19" t="n">
        <v>0</v>
      </c>
      <c r="CZ21" s="19" t="n">
        <v>0</v>
      </c>
      <c r="DA21" s="19" t="n">
        <v>0</v>
      </c>
      <c r="DB21" s="19" t="n">
        <v>0</v>
      </c>
      <c r="DC21" s="19" t="n">
        <v>0</v>
      </c>
      <c r="DD21" s="19" t="n">
        <v>0</v>
      </c>
      <c r="DE21" s="19" t="n">
        <v>0</v>
      </c>
      <c r="DF21" s="19" t="n">
        <v>0</v>
      </c>
      <c r="DG21" s="19" t="n">
        <v>0</v>
      </c>
      <c r="DH21" s="19" t="n">
        <v>0</v>
      </c>
      <c r="DI21" s="19" t="n">
        <v>0</v>
      </c>
      <c r="DJ21" s="19" t="n">
        <v>0</v>
      </c>
      <c r="DK21" s="19" t="n">
        <v>0</v>
      </c>
      <c r="DL21" s="19" t="n">
        <v>0</v>
      </c>
      <c r="DM21" s="19" t="n">
        <v>0</v>
      </c>
      <c r="DN21" s="19" t="n">
        <v>0</v>
      </c>
      <c r="DO21" s="19" t="n">
        <v>0</v>
      </c>
      <c r="DP21" s="19" t="n">
        <v>0</v>
      </c>
      <c r="DQ21" s="19" t="n">
        <v>0</v>
      </c>
      <c r="DR21" s="19" t="n">
        <v>0</v>
      </c>
      <c r="DS21" s="19" t="n">
        <v>0</v>
      </c>
      <c r="DT21" s="19" t="n">
        <v>0</v>
      </c>
      <c r="DU21" s="19" t="n">
        <v>0</v>
      </c>
      <c r="DV21" s="19" t="n">
        <v>0</v>
      </c>
      <c r="DW21" s="19" t="n">
        <v>0</v>
      </c>
      <c r="DX21" s="19" t="n">
        <v>0</v>
      </c>
      <c r="DY21" s="19" t="n">
        <v>0</v>
      </c>
      <c r="DZ21" s="19" t="n">
        <v>0</v>
      </c>
      <c r="EA21" s="19" t="n">
        <v>0</v>
      </c>
      <c r="EB21" s="19" t="n">
        <v>0</v>
      </c>
      <c r="EC21" s="19" t="n">
        <v>0</v>
      </c>
      <c r="ED21" s="19" t="n">
        <v>0</v>
      </c>
      <c r="EE21" s="19" t="n">
        <v>0</v>
      </c>
      <c r="EF21" s="19" t="n">
        <v>250000000000</v>
      </c>
      <c r="EG21" s="19" t="n">
        <v>125000000000</v>
      </c>
      <c r="EH21" s="19" t="n">
        <v>62400000000</v>
      </c>
      <c r="EI21" s="19" t="n">
        <v>62400000000</v>
      </c>
      <c r="EJ21" s="19" t="n">
        <v>2000000000000</v>
      </c>
      <c r="EK21" s="19" t="n">
        <v>2000000000000</v>
      </c>
      <c r="EL21" s="19" t="n">
        <v>0</v>
      </c>
      <c r="EM21" s="19" t="n">
        <v>0</v>
      </c>
      <c r="EN21" s="19" t="n">
        <v>50</v>
      </c>
    </row>
    <row r="22">
      <c r="A22" s="13" t="inlineStr">
        <is>
          <t>2025-12-31-S01020000000000</t>
        </is>
      </c>
      <c r="B22" s="13" t="inlineStr">
        <is>
          <t>2025-12-31</t>
        </is>
      </c>
      <c r="C22" s="13" t="inlineStr">
        <is>
          <t>S01020000000000</t>
        </is>
      </c>
      <c r="D22" s="14" t="inlineStr">
        <is>
          <t xml:space="preserve">　（二）外币小计（美元）</t>
        </is>
      </c>
      <c r="E22" s="15" t="n">
        <v>2</v>
      </c>
      <c r="F22" s="13" t="inlineStr">
        <is>
          <t>S01000000000000</t>
        </is>
      </c>
      <c r="G22" s="13" t="n">
        <v>0</v>
      </c>
      <c r="H22" s="13" t="inlineStr">
        <is>
          <t>ASSET</t>
        </is>
      </c>
      <c r="I22" s="13" t="inlineStr"/>
      <c r="J22" s="13" t="n">
        <v>0</v>
      </c>
      <c r="K22" s="36" t="n">
        <v>4230900037590.564</v>
      </c>
      <c r="L22" s="37">
        <f>SUMPRODUCT($C75:$C134,$B$114:$B$173)+C135*$B$175+C136*$B$176+C137*$B$177+C138*$B$178</f>
        <v/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160000000000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240000000000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3200000000000</v>
      </c>
      <c r="BU22" s="16" t="n">
        <v>1600000000000</v>
      </c>
      <c r="BV22" s="16" t="n">
        <v>800000000000</v>
      </c>
      <c r="BW22" s="16" t="n">
        <v>800000000000</v>
      </c>
      <c r="BX22" s="16" t="n">
        <v>187200000000</v>
      </c>
      <c r="BY22" s="16" t="n">
        <v>187200000000</v>
      </c>
      <c r="BZ22" s="16" t="n">
        <v>187200000000</v>
      </c>
      <c r="CA22" s="16" t="n">
        <v>187200000000</v>
      </c>
      <c r="CB22" s="16" t="n">
        <v>187200000000</v>
      </c>
      <c r="CC22" s="16" t="n">
        <v>187200000000</v>
      </c>
      <c r="CD22" s="16" t="n">
        <v>187200000000</v>
      </c>
      <c r="CE22" s="16" t="n">
        <v>187200000000</v>
      </c>
      <c r="CF22" s="16" t="n">
        <v>187200000000</v>
      </c>
      <c r="CG22" s="16" t="n">
        <v>187200000000</v>
      </c>
      <c r="CH22" s="16" t="n">
        <v>187200000000</v>
      </c>
      <c r="CI22" s="16" t="n">
        <v>187200000000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0</v>
      </c>
      <c r="CR22" s="16" t="n">
        <v>0</v>
      </c>
      <c r="CS22" s="16" t="n">
        <v>0</v>
      </c>
      <c r="CT22" s="16" t="n">
        <v>0</v>
      </c>
      <c r="CU22" s="16" t="n">
        <v>0</v>
      </c>
      <c r="CV22" s="16" t="n">
        <v>0</v>
      </c>
      <c r="CW22" s="16" t="n">
        <v>0</v>
      </c>
      <c r="CX22" s="16" t="n">
        <v>0</v>
      </c>
      <c r="CY22" s="16" t="n">
        <v>0</v>
      </c>
      <c r="CZ22" s="16" t="n">
        <v>0</v>
      </c>
      <c r="DA22" s="16" t="n">
        <v>0</v>
      </c>
      <c r="DB22" s="16" t="n">
        <v>0</v>
      </c>
      <c r="DC22" s="16" t="n">
        <v>0</v>
      </c>
      <c r="DD22" s="16" t="n">
        <v>0</v>
      </c>
      <c r="DE22" s="16" t="n">
        <v>0</v>
      </c>
      <c r="DF22" s="16" t="n">
        <v>0</v>
      </c>
      <c r="DG22" s="16" t="n">
        <v>0</v>
      </c>
      <c r="DH22" s="16" t="n">
        <v>0</v>
      </c>
      <c r="DI22" s="16" t="n">
        <v>0</v>
      </c>
      <c r="DJ22" s="16" t="n">
        <v>0</v>
      </c>
      <c r="DK22" s="16" t="n">
        <v>0</v>
      </c>
      <c r="DL22" s="16" t="n">
        <v>0</v>
      </c>
      <c r="DM22" s="16" t="n">
        <v>0</v>
      </c>
      <c r="DN22" s="16" t="n">
        <v>0</v>
      </c>
      <c r="DO22" s="16" t="n">
        <v>0</v>
      </c>
      <c r="DP22" s="16" t="n">
        <v>0</v>
      </c>
      <c r="DQ22" s="16" t="n">
        <v>0</v>
      </c>
      <c r="DR22" s="16" t="n">
        <v>0</v>
      </c>
      <c r="DS22" s="16" t="n">
        <v>0</v>
      </c>
      <c r="DT22" s="16" t="n">
        <v>0</v>
      </c>
      <c r="DU22" s="16" t="n">
        <v>0</v>
      </c>
      <c r="DV22" s="16" t="n">
        <v>0</v>
      </c>
      <c r="DW22" s="16" t="n">
        <v>0</v>
      </c>
      <c r="DX22" s="16" t="n">
        <v>0</v>
      </c>
      <c r="DY22" s="16" t="n">
        <v>0</v>
      </c>
      <c r="DZ22" s="16" t="n">
        <v>0</v>
      </c>
      <c r="EA22" s="16" t="n">
        <v>0</v>
      </c>
      <c r="EB22" s="16" t="n">
        <v>0</v>
      </c>
      <c r="EC22" s="16" t="n">
        <v>0</v>
      </c>
      <c r="ED22" s="16" t="n">
        <v>0</v>
      </c>
      <c r="EE22" s="16" t="n">
        <v>0</v>
      </c>
      <c r="EF22" s="16" t="n">
        <v>1000000000000</v>
      </c>
      <c r="EG22" s="16" t="n">
        <v>500000000000</v>
      </c>
      <c r="EH22" s="16" t="n">
        <v>249600000000</v>
      </c>
      <c r="EI22" s="16" t="n">
        <v>249600000000</v>
      </c>
      <c r="EJ22" s="16" t="n">
        <v>8000000000000</v>
      </c>
      <c r="EK22" s="16" t="n">
        <v>8000000000000</v>
      </c>
      <c r="EL22" s="16" t="n">
        <v>4.2</v>
      </c>
      <c r="EM22" s="16" t="n">
        <v>28000000000</v>
      </c>
      <c r="EN22" s="16" t="n">
        <v>0</v>
      </c>
    </row>
    <row r="23">
      <c r="A23" t="inlineStr">
        <is>
          <t>2025-12-31-S01020100000000</t>
        </is>
      </c>
      <c r="B23" t="inlineStr">
        <is>
          <t>2025-12-31</t>
        </is>
      </c>
      <c r="C23" t="inlineStr">
        <is>
          <t>S01020100000000</t>
        </is>
      </c>
      <c r="D23" s="17" t="inlineStr">
        <is>
          <t xml:space="preserve">　　1. 外币贷款</t>
        </is>
      </c>
      <c r="E23" s="18" t="n">
        <v>3</v>
      </c>
      <c r="F23" t="inlineStr">
        <is>
          <t>S01020000000000</t>
        </is>
      </c>
      <c r="G23" t="n">
        <v>1</v>
      </c>
      <c r="H23" t="inlineStr">
        <is>
          <t>ASSET</t>
        </is>
      </c>
      <c r="I23" t="inlineStr">
        <is>
          <t>RSF</t>
        </is>
      </c>
      <c r="J23" t="n">
        <v>0.5</v>
      </c>
      <c r="K23" s="38" t="n">
        <v>2115450018795.282</v>
      </c>
      <c r="L23" s="39">
        <f>SUMPRODUCT($C75:$C134,$B$114:$B$173)+C135*$B$175+C136*$B$176+C137*$B$177+C138*$B$178</f>
        <v/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80000000000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120000000000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19" t="n">
        <v>0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1600000000000</v>
      </c>
      <c r="BU23" s="19" t="n">
        <v>800000000000</v>
      </c>
      <c r="BV23" s="19" t="n">
        <v>400000000000</v>
      </c>
      <c r="BW23" s="19" t="n">
        <v>400000000000</v>
      </c>
      <c r="BX23" s="19" t="n">
        <v>93600000000</v>
      </c>
      <c r="BY23" s="19" t="n">
        <v>93600000000</v>
      </c>
      <c r="BZ23" s="19" t="n">
        <v>93600000000</v>
      </c>
      <c r="CA23" s="19" t="n">
        <v>93600000000</v>
      </c>
      <c r="CB23" s="19" t="n">
        <v>93600000000</v>
      </c>
      <c r="CC23" s="19" t="n">
        <v>93600000000</v>
      </c>
      <c r="CD23" s="19" t="n">
        <v>93600000000</v>
      </c>
      <c r="CE23" s="19" t="n">
        <v>93600000000</v>
      </c>
      <c r="CF23" s="19" t="n">
        <v>93600000000</v>
      </c>
      <c r="CG23" s="19" t="n">
        <v>93600000000</v>
      </c>
      <c r="CH23" s="19" t="n">
        <v>93600000000</v>
      </c>
      <c r="CI23" s="19" t="n">
        <v>93600000000</v>
      </c>
      <c r="CJ23" s="19" t="n">
        <v>0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9" t="n">
        <v>0</v>
      </c>
      <c r="CS23" s="19" t="n">
        <v>0</v>
      </c>
      <c r="CT23" s="19" t="n">
        <v>0</v>
      </c>
      <c r="CU23" s="19" t="n">
        <v>0</v>
      </c>
      <c r="CV23" s="19" t="n">
        <v>0</v>
      </c>
      <c r="CW23" s="19" t="n">
        <v>0</v>
      </c>
      <c r="CX23" s="19" t="n">
        <v>0</v>
      </c>
      <c r="CY23" s="19" t="n">
        <v>0</v>
      </c>
      <c r="CZ23" s="19" t="n">
        <v>0</v>
      </c>
      <c r="DA23" s="19" t="n">
        <v>0</v>
      </c>
      <c r="DB23" s="19" t="n">
        <v>0</v>
      </c>
      <c r="DC23" s="19" t="n">
        <v>0</v>
      </c>
      <c r="DD23" s="19" t="n">
        <v>0</v>
      </c>
      <c r="DE23" s="19" t="n">
        <v>0</v>
      </c>
      <c r="DF23" s="19" t="n">
        <v>0</v>
      </c>
      <c r="DG23" s="19" t="n">
        <v>0</v>
      </c>
      <c r="DH23" s="19" t="n">
        <v>0</v>
      </c>
      <c r="DI23" s="19" t="n">
        <v>0</v>
      </c>
      <c r="DJ23" s="19" t="n">
        <v>0</v>
      </c>
      <c r="DK23" s="19" t="n">
        <v>0</v>
      </c>
      <c r="DL23" s="19" t="n">
        <v>0</v>
      </c>
      <c r="DM23" s="19" t="n">
        <v>0</v>
      </c>
      <c r="DN23" s="19" t="n">
        <v>0</v>
      </c>
      <c r="DO23" s="19" t="n">
        <v>0</v>
      </c>
      <c r="DP23" s="19" t="n">
        <v>0</v>
      </c>
      <c r="DQ23" s="19" t="n">
        <v>0</v>
      </c>
      <c r="DR23" s="19" t="n">
        <v>0</v>
      </c>
      <c r="DS23" s="19" t="n">
        <v>0</v>
      </c>
      <c r="DT23" s="19" t="n">
        <v>0</v>
      </c>
      <c r="DU23" s="19" t="n">
        <v>0</v>
      </c>
      <c r="DV23" s="19" t="n">
        <v>0</v>
      </c>
      <c r="DW23" s="19" t="n">
        <v>0</v>
      </c>
      <c r="DX23" s="19" t="n">
        <v>0</v>
      </c>
      <c r="DY23" s="19" t="n">
        <v>0</v>
      </c>
      <c r="DZ23" s="19" t="n">
        <v>0</v>
      </c>
      <c r="EA23" s="19" t="n">
        <v>0</v>
      </c>
      <c r="EB23" s="19" t="n">
        <v>0</v>
      </c>
      <c r="EC23" s="19" t="n">
        <v>0</v>
      </c>
      <c r="ED23" s="19" t="n">
        <v>0</v>
      </c>
      <c r="EE23" s="19" t="n">
        <v>0</v>
      </c>
      <c r="EF23" s="19" t="n">
        <v>500000000000</v>
      </c>
      <c r="EG23" s="19" t="n">
        <v>250000000000</v>
      </c>
      <c r="EH23" s="19" t="n">
        <v>124800000000</v>
      </c>
      <c r="EI23" s="19" t="n">
        <v>124800000000</v>
      </c>
      <c r="EJ23" s="19" t="n">
        <v>4000000000000</v>
      </c>
      <c r="EK23" s="19" t="n">
        <v>4000000000000</v>
      </c>
      <c r="EL23" s="19" t="n">
        <v>4.8</v>
      </c>
      <c r="EM23" s="19" t="n">
        <v>16000000000</v>
      </c>
      <c r="EN23" s="19" t="n">
        <v>100</v>
      </c>
    </row>
    <row r="24">
      <c r="A24" t="inlineStr">
        <is>
          <t>2025-12-31-S01020200000000</t>
        </is>
      </c>
      <c r="B24" t="inlineStr">
        <is>
          <t>2025-12-31</t>
        </is>
      </c>
      <c r="C24" t="inlineStr">
        <is>
          <t>S01020200000000</t>
        </is>
      </c>
      <c r="D24" s="17" t="inlineStr">
        <is>
          <t xml:space="preserve">　　2. 外币非信贷资产</t>
        </is>
      </c>
      <c r="E24" s="18" t="n">
        <v>3</v>
      </c>
      <c r="F24" t="inlineStr">
        <is>
          <t>S01020000000000</t>
        </is>
      </c>
      <c r="G24" t="n">
        <v>0</v>
      </c>
      <c r="H24" t="inlineStr">
        <is>
          <t>ASSET</t>
        </is>
      </c>
      <c r="J24" t="n">
        <v>0</v>
      </c>
      <c r="K24" s="38" t="n">
        <v>1586587514096.461</v>
      </c>
      <c r="L24" s="39">
        <f>SUMPRODUCT($C75:$C134,$B$114:$B$173)+C135*$B$175+C136*$B$176+C137*$B$177+C138*$B$178</f>
        <v/>
      </c>
      <c r="M24" s="19" t="n">
        <v>0</v>
      </c>
      <c r="N24" s="19" t="n">
        <v>0</v>
      </c>
      <c r="O24" s="19" t="n">
        <v>0</v>
      </c>
      <c r="P24" s="19" t="n">
        <v>0</v>
      </c>
      <c r="Q24" s="19" t="n">
        <v>60000000000</v>
      </c>
      <c r="R24" s="19" t="n">
        <v>0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90000000000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>
        <v>0</v>
      </c>
      <c r="AI24" s="19" t="n">
        <v>0</v>
      </c>
      <c r="AJ24" s="19" t="n">
        <v>0</v>
      </c>
      <c r="AK24" s="19" t="n">
        <v>0</v>
      </c>
      <c r="AL24" s="19" t="n">
        <v>0</v>
      </c>
      <c r="AM24" s="19" t="n">
        <v>0</v>
      </c>
      <c r="AN24" s="19" t="n">
        <v>0</v>
      </c>
      <c r="AO24" s="19" t="n">
        <v>0</v>
      </c>
      <c r="AP24" s="19" t="n">
        <v>0</v>
      </c>
      <c r="AQ24" s="19" t="n">
        <v>0</v>
      </c>
      <c r="AR24" s="19" t="n">
        <v>0</v>
      </c>
      <c r="AS24" s="19" t="n">
        <v>0</v>
      </c>
      <c r="AT24" s="19" t="n">
        <v>0</v>
      </c>
      <c r="AU24" s="19" t="n">
        <v>0</v>
      </c>
      <c r="AV24" s="19" t="n">
        <v>0</v>
      </c>
      <c r="AW24" s="19" t="n">
        <v>0</v>
      </c>
      <c r="AX24" s="19" t="n">
        <v>0</v>
      </c>
      <c r="AY24" s="19" t="n">
        <v>0</v>
      </c>
      <c r="AZ24" s="19" t="n">
        <v>0</v>
      </c>
      <c r="BA24" s="19" t="n">
        <v>0</v>
      </c>
      <c r="BB24" s="19" t="n">
        <v>0</v>
      </c>
      <c r="BC24" s="19" t="n">
        <v>0</v>
      </c>
      <c r="BD24" s="19" t="n">
        <v>0</v>
      </c>
      <c r="BE24" s="19" t="n">
        <v>0</v>
      </c>
      <c r="BF24" s="19" t="n">
        <v>0</v>
      </c>
      <c r="BG24" s="19" t="n">
        <v>0</v>
      </c>
      <c r="BH24" s="19" t="n">
        <v>0</v>
      </c>
      <c r="BI24" s="19" t="n">
        <v>0</v>
      </c>
      <c r="BJ24" s="19" t="n">
        <v>0</v>
      </c>
      <c r="BK24" s="19" t="n">
        <v>0</v>
      </c>
      <c r="BL24" s="19" t="n">
        <v>0</v>
      </c>
      <c r="BM24" s="19" t="n">
        <v>0</v>
      </c>
      <c r="BN24" s="19" t="n">
        <v>0</v>
      </c>
      <c r="BO24" s="19" t="n">
        <v>0</v>
      </c>
      <c r="BP24" s="19" t="n">
        <v>0</v>
      </c>
      <c r="BQ24" s="19" t="n">
        <v>0</v>
      </c>
      <c r="BR24" s="19" t="n">
        <v>0</v>
      </c>
      <c r="BS24" s="19" t="n">
        <v>0</v>
      </c>
      <c r="BT24" s="19" t="n">
        <v>1200000000000</v>
      </c>
      <c r="BU24" s="19" t="n">
        <v>600000000000</v>
      </c>
      <c r="BV24" s="19" t="n">
        <v>300000000000</v>
      </c>
      <c r="BW24" s="19" t="n">
        <v>300000000000</v>
      </c>
      <c r="BX24" s="19" t="n">
        <v>70200000000</v>
      </c>
      <c r="BY24" s="19" t="n">
        <v>70200000000</v>
      </c>
      <c r="BZ24" s="19" t="n">
        <v>70200000000</v>
      </c>
      <c r="CA24" s="19" t="n">
        <v>70200000000</v>
      </c>
      <c r="CB24" s="19" t="n">
        <v>70200000000</v>
      </c>
      <c r="CC24" s="19" t="n">
        <v>70200000000</v>
      </c>
      <c r="CD24" s="19" t="n">
        <v>70200000000</v>
      </c>
      <c r="CE24" s="19" t="n">
        <v>70200000000</v>
      </c>
      <c r="CF24" s="19" t="n">
        <v>70200000000</v>
      </c>
      <c r="CG24" s="19" t="n">
        <v>70200000000</v>
      </c>
      <c r="CH24" s="19" t="n">
        <v>70200000000</v>
      </c>
      <c r="CI24" s="19" t="n">
        <v>70200000000</v>
      </c>
      <c r="CJ24" s="19" t="n">
        <v>0</v>
      </c>
      <c r="CK24" s="19" t="n">
        <v>0</v>
      </c>
      <c r="CL24" s="19" t="n">
        <v>0</v>
      </c>
      <c r="CM24" s="19" t="n">
        <v>0</v>
      </c>
      <c r="CN24" s="19" t="n">
        <v>0</v>
      </c>
      <c r="CO24" s="19" t="n">
        <v>0</v>
      </c>
      <c r="CP24" s="19" t="n">
        <v>0</v>
      </c>
      <c r="CQ24" s="19" t="n">
        <v>0</v>
      </c>
      <c r="CR24" s="19" t="n">
        <v>0</v>
      </c>
      <c r="CS24" s="19" t="n">
        <v>0</v>
      </c>
      <c r="CT24" s="19" t="n">
        <v>0</v>
      </c>
      <c r="CU24" s="19" t="n">
        <v>0</v>
      </c>
      <c r="CV24" s="19" t="n">
        <v>0</v>
      </c>
      <c r="CW24" s="19" t="n">
        <v>0</v>
      </c>
      <c r="CX24" s="19" t="n">
        <v>0</v>
      </c>
      <c r="CY24" s="19" t="n">
        <v>0</v>
      </c>
      <c r="CZ24" s="19" t="n">
        <v>0</v>
      </c>
      <c r="DA24" s="19" t="n">
        <v>0</v>
      </c>
      <c r="DB24" s="19" t="n">
        <v>0</v>
      </c>
      <c r="DC24" s="19" t="n">
        <v>0</v>
      </c>
      <c r="DD24" s="19" t="n">
        <v>0</v>
      </c>
      <c r="DE24" s="19" t="n">
        <v>0</v>
      </c>
      <c r="DF24" s="19" t="n">
        <v>0</v>
      </c>
      <c r="DG24" s="19" t="n">
        <v>0</v>
      </c>
      <c r="DH24" s="19" t="n">
        <v>0</v>
      </c>
      <c r="DI24" s="19" t="n">
        <v>0</v>
      </c>
      <c r="DJ24" s="19" t="n">
        <v>0</v>
      </c>
      <c r="DK24" s="19" t="n">
        <v>0</v>
      </c>
      <c r="DL24" s="19" t="n">
        <v>0</v>
      </c>
      <c r="DM24" s="19" t="n">
        <v>0</v>
      </c>
      <c r="DN24" s="19" t="n">
        <v>0</v>
      </c>
      <c r="DO24" s="19" t="n">
        <v>0</v>
      </c>
      <c r="DP24" s="19" t="n">
        <v>0</v>
      </c>
      <c r="DQ24" s="19" t="n">
        <v>0</v>
      </c>
      <c r="DR24" s="19" t="n">
        <v>0</v>
      </c>
      <c r="DS24" s="19" t="n">
        <v>0</v>
      </c>
      <c r="DT24" s="19" t="n">
        <v>0</v>
      </c>
      <c r="DU24" s="19" t="n">
        <v>0</v>
      </c>
      <c r="DV24" s="19" t="n">
        <v>0</v>
      </c>
      <c r="DW24" s="19" t="n">
        <v>0</v>
      </c>
      <c r="DX24" s="19" t="n">
        <v>0</v>
      </c>
      <c r="DY24" s="19" t="n">
        <v>0</v>
      </c>
      <c r="DZ24" s="19" t="n">
        <v>0</v>
      </c>
      <c r="EA24" s="19" t="n">
        <v>0</v>
      </c>
      <c r="EB24" s="19" t="n">
        <v>0</v>
      </c>
      <c r="EC24" s="19" t="n">
        <v>0</v>
      </c>
      <c r="ED24" s="19" t="n">
        <v>0</v>
      </c>
      <c r="EE24" s="19" t="n">
        <v>0</v>
      </c>
      <c r="EF24" s="19" t="n">
        <v>375000000000</v>
      </c>
      <c r="EG24" s="19" t="n">
        <v>187500000000</v>
      </c>
      <c r="EH24" s="19" t="n">
        <v>93600000000</v>
      </c>
      <c r="EI24" s="19" t="n">
        <v>93600000000</v>
      </c>
      <c r="EJ24" s="19" t="n">
        <v>3000000000000</v>
      </c>
      <c r="EK24" s="19" t="n">
        <v>3000000000000</v>
      </c>
      <c r="EL24" s="19" t="n">
        <v>3.8</v>
      </c>
      <c r="EM24" s="19" t="n">
        <v>9500000000</v>
      </c>
      <c r="EN24" s="19" t="n">
        <v>0</v>
      </c>
    </row>
    <row r="25">
      <c r="A25" t="inlineStr">
        <is>
          <t>2025-12-31-S01020201000000</t>
        </is>
      </c>
      <c r="B25" t="inlineStr">
        <is>
          <t>2025-12-31</t>
        </is>
      </c>
      <c r="C25" t="inlineStr">
        <is>
          <t>S01020201000000</t>
        </is>
      </c>
      <c r="D25" s="17" t="inlineStr">
        <is>
          <t xml:space="preserve">　　　2.1. 外币债券</t>
        </is>
      </c>
      <c r="E25" s="18" t="n">
        <v>4</v>
      </c>
      <c r="F25" t="inlineStr">
        <is>
          <t>S01020200000000</t>
        </is>
      </c>
      <c r="G25" t="n">
        <v>1</v>
      </c>
      <c r="H25" t="inlineStr">
        <is>
          <t>ASSET</t>
        </is>
      </c>
      <c r="I25" t="inlineStr">
        <is>
          <t>RSF</t>
        </is>
      </c>
      <c r="J25" t="n">
        <v>0</v>
      </c>
      <c r="K25" s="38" t="n">
        <v>1057725009397.641</v>
      </c>
      <c r="L25" s="39">
        <f>SUMPRODUCT($C75:$C134,$B$114:$B$173)+C135*$B$175+C136*$B$176+C137*$B$177+C138*$B$178</f>
        <v/>
      </c>
      <c r="M25" s="19" t="n">
        <v>0</v>
      </c>
      <c r="N25" s="19" t="n">
        <v>0</v>
      </c>
      <c r="O25" s="19" t="n">
        <v>0</v>
      </c>
      <c r="P25" s="19" t="n">
        <v>0</v>
      </c>
      <c r="Q25" s="19" t="n">
        <v>40000000000</v>
      </c>
      <c r="R25" s="1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60000000000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0</v>
      </c>
      <c r="AP25" s="19" t="n">
        <v>0</v>
      </c>
      <c r="AQ25" s="19" t="n">
        <v>0</v>
      </c>
      <c r="AR25" s="19" t="n">
        <v>0</v>
      </c>
      <c r="AS25" s="19" t="n">
        <v>0</v>
      </c>
      <c r="AT25" s="19" t="n">
        <v>0</v>
      </c>
      <c r="AU25" s="19" t="n">
        <v>0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0</v>
      </c>
      <c r="BL25" s="19" t="n">
        <v>0</v>
      </c>
      <c r="BM25" s="19" t="n">
        <v>0</v>
      </c>
      <c r="BN25" s="19" t="n">
        <v>0</v>
      </c>
      <c r="BO25" s="19" t="n">
        <v>0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800000000000</v>
      </c>
      <c r="BU25" s="19" t="n">
        <v>400000000000</v>
      </c>
      <c r="BV25" s="19" t="n">
        <v>200000000000</v>
      </c>
      <c r="BW25" s="19" t="n">
        <v>200000000000</v>
      </c>
      <c r="BX25" s="19" t="n">
        <v>46800000000</v>
      </c>
      <c r="BY25" s="19" t="n">
        <v>46800000000</v>
      </c>
      <c r="BZ25" s="19" t="n">
        <v>46800000000</v>
      </c>
      <c r="CA25" s="19" t="n">
        <v>46800000000</v>
      </c>
      <c r="CB25" s="19" t="n">
        <v>46800000000</v>
      </c>
      <c r="CC25" s="19" t="n">
        <v>46800000000</v>
      </c>
      <c r="CD25" s="19" t="n">
        <v>46800000000</v>
      </c>
      <c r="CE25" s="19" t="n">
        <v>46800000000</v>
      </c>
      <c r="CF25" s="19" t="n">
        <v>46800000000</v>
      </c>
      <c r="CG25" s="19" t="n">
        <v>46800000000</v>
      </c>
      <c r="CH25" s="19" t="n">
        <v>46800000000</v>
      </c>
      <c r="CI25" s="19" t="n">
        <v>46800000000</v>
      </c>
      <c r="CJ25" s="19" t="n">
        <v>0</v>
      </c>
      <c r="CK25" s="19" t="n">
        <v>0</v>
      </c>
      <c r="CL25" s="19" t="n">
        <v>0</v>
      </c>
      <c r="CM25" s="19" t="n">
        <v>0</v>
      </c>
      <c r="CN25" s="19" t="n">
        <v>0</v>
      </c>
      <c r="CO25" s="19" t="n">
        <v>0</v>
      </c>
      <c r="CP25" s="19" t="n">
        <v>0</v>
      </c>
      <c r="CQ25" s="19" t="n">
        <v>0</v>
      </c>
      <c r="CR25" s="19" t="n">
        <v>0</v>
      </c>
      <c r="CS25" s="19" t="n">
        <v>0</v>
      </c>
      <c r="CT25" s="19" t="n">
        <v>0</v>
      </c>
      <c r="CU25" s="19" t="n">
        <v>0</v>
      </c>
      <c r="CV25" s="19" t="n">
        <v>0</v>
      </c>
      <c r="CW25" s="19" t="n">
        <v>0</v>
      </c>
      <c r="CX25" s="19" t="n">
        <v>0</v>
      </c>
      <c r="CY25" s="19" t="n">
        <v>0</v>
      </c>
      <c r="CZ25" s="19" t="n">
        <v>0</v>
      </c>
      <c r="DA25" s="19" t="n">
        <v>0</v>
      </c>
      <c r="DB25" s="19" t="n">
        <v>0</v>
      </c>
      <c r="DC25" s="19" t="n">
        <v>0</v>
      </c>
      <c r="DD25" s="19" t="n">
        <v>0</v>
      </c>
      <c r="DE25" s="19" t="n">
        <v>0</v>
      </c>
      <c r="DF25" s="19" t="n">
        <v>0</v>
      </c>
      <c r="DG25" s="19" t="n">
        <v>0</v>
      </c>
      <c r="DH25" s="19" t="n">
        <v>0</v>
      </c>
      <c r="DI25" s="19" t="n">
        <v>0</v>
      </c>
      <c r="DJ25" s="19" t="n">
        <v>0</v>
      </c>
      <c r="DK25" s="19" t="n">
        <v>0</v>
      </c>
      <c r="DL25" s="19" t="n">
        <v>0</v>
      </c>
      <c r="DM25" s="19" t="n">
        <v>0</v>
      </c>
      <c r="DN25" s="19" t="n">
        <v>0</v>
      </c>
      <c r="DO25" s="19" t="n">
        <v>0</v>
      </c>
      <c r="DP25" s="19" t="n">
        <v>0</v>
      </c>
      <c r="DQ25" s="19" t="n">
        <v>0</v>
      </c>
      <c r="DR25" s="19" t="n">
        <v>0</v>
      </c>
      <c r="DS25" s="19" t="n">
        <v>0</v>
      </c>
      <c r="DT25" s="19" t="n">
        <v>0</v>
      </c>
      <c r="DU25" s="19" t="n">
        <v>0</v>
      </c>
      <c r="DV25" s="19" t="n">
        <v>0</v>
      </c>
      <c r="DW25" s="19" t="n">
        <v>0</v>
      </c>
      <c r="DX25" s="19" t="n">
        <v>0</v>
      </c>
      <c r="DY25" s="19" t="n">
        <v>0</v>
      </c>
      <c r="DZ25" s="19" t="n">
        <v>0</v>
      </c>
      <c r="EA25" s="19" t="n">
        <v>0</v>
      </c>
      <c r="EB25" s="19" t="n">
        <v>0</v>
      </c>
      <c r="EC25" s="19" t="n">
        <v>0</v>
      </c>
      <c r="ED25" s="19" t="n">
        <v>0</v>
      </c>
      <c r="EE25" s="19" t="n">
        <v>0</v>
      </c>
      <c r="EF25" s="19" t="n">
        <v>250000000000</v>
      </c>
      <c r="EG25" s="19" t="n">
        <v>125000000000</v>
      </c>
      <c r="EH25" s="19" t="n">
        <v>62400000000</v>
      </c>
      <c r="EI25" s="19" t="n">
        <v>62400000000</v>
      </c>
      <c r="EJ25" s="19" t="n">
        <v>2000000000000</v>
      </c>
      <c r="EK25" s="19" t="n">
        <v>2000000000000</v>
      </c>
      <c r="EL25" s="19" t="n">
        <v>3.5</v>
      </c>
      <c r="EM25" s="19" t="n">
        <v>5833333333.3333</v>
      </c>
      <c r="EN25" s="19" t="n">
        <v>50</v>
      </c>
    </row>
    <row r="26">
      <c r="A26" t="inlineStr">
        <is>
          <t>2025-12-31-S01020202000000</t>
        </is>
      </c>
      <c r="B26" t="inlineStr">
        <is>
          <t>2025-12-31</t>
        </is>
      </c>
      <c r="C26" t="inlineStr">
        <is>
          <t>S01020202000000</t>
        </is>
      </c>
      <c r="D26" s="17" t="inlineStr">
        <is>
          <t xml:space="preserve">　　　2.2. 同业资产</t>
        </is>
      </c>
      <c r="E26" s="18" t="n">
        <v>4</v>
      </c>
      <c r="F26" t="inlineStr">
        <is>
          <t>S01020200000000</t>
        </is>
      </c>
      <c r="G26" t="n">
        <v>1</v>
      </c>
      <c r="H26" t="inlineStr">
        <is>
          <t>ASSET</t>
        </is>
      </c>
      <c r="I26" t="inlineStr">
        <is>
          <t>RSF</t>
        </is>
      </c>
      <c r="J26" t="n">
        <v>0</v>
      </c>
      <c r="K26" s="38" t="n">
        <v>528862504698.8205</v>
      </c>
      <c r="L26" s="39">
        <f>SUMPRODUCT($C75:$C134,$B$114:$B$173)+C135*$B$175+C136*$B$176+C137*$B$177+C138*$B$178</f>
        <v/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20000000000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30000000000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 t="n">
        <v>0</v>
      </c>
      <c r="AH26" s="19" t="n">
        <v>0</v>
      </c>
      <c r="AI26" s="19" t="n">
        <v>0</v>
      </c>
      <c r="AJ26" s="19" t="n">
        <v>0</v>
      </c>
      <c r="AK26" s="19" t="n">
        <v>0</v>
      </c>
      <c r="AL26" s="19" t="n">
        <v>0</v>
      </c>
      <c r="AM26" s="19" t="n">
        <v>0</v>
      </c>
      <c r="AN26" s="19" t="n">
        <v>0</v>
      </c>
      <c r="AO26" s="19" t="n">
        <v>0</v>
      </c>
      <c r="AP26" s="19" t="n">
        <v>0</v>
      </c>
      <c r="AQ26" s="19" t="n">
        <v>0</v>
      </c>
      <c r="AR26" s="19" t="n">
        <v>0</v>
      </c>
      <c r="AS26" s="19" t="n">
        <v>0</v>
      </c>
      <c r="AT26" s="19" t="n">
        <v>0</v>
      </c>
      <c r="AU26" s="19" t="n">
        <v>0</v>
      </c>
      <c r="AV26" s="19" t="n">
        <v>0</v>
      </c>
      <c r="AW26" s="19" t="n">
        <v>0</v>
      </c>
      <c r="AX26" s="19" t="n">
        <v>0</v>
      </c>
      <c r="AY26" s="19" t="n">
        <v>0</v>
      </c>
      <c r="AZ26" s="19" t="n">
        <v>0</v>
      </c>
      <c r="BA26" s="19" t="n">
        <v>0</v>
      </c>
      <c r="BB26" s="19" t="n">
        <v>0</v>
      </c>
      <c r="BC26" s="19" t="n">
        <v>0</v>
      </c>
      <c r="BD26" s="19" t="n">
        <v>0</v>
      </c>
      <c r="BE26" s="19" t="n">
        <v>0</v>
      </c>
      <c r="BF26" s="19" t="n">
        <v>0</v>
      </c>
      <c r="BG26" s="19" t="n">
        <v>0</v>
      </c>
      <c r="BH26" s="19" t="n">
        <v>0</v>
      </c>
      <c r="BI26" s="19" t="n">
        <v>0</v>
      </c>
      <c r="BJ26" s="19" t="n">
        <v>0</v>
      </c>
      <c r="BK26" s="19" t="n">
        <v>0</v>
      </c>
      <c r="BL26" s="19" t="n">
        <v>0</v>
      </c>
      <c r="BM26" s="19" t="n">
        <v>0</v>
      </c>
      <c r="BN26" s="19" t="n">
        <v>0</v>
      </c>
      <c r="BO26" s="19" t="n">
        <v>0</v>
      </c>
      <c r="BP26" s="19" t="n">
        <v>0</v>
      </c>
      <c r="BQ26" s="19" t="n">
        <v>0</v>
      </c>
      <c r="BR26" s="19" t="n">
        <v>0</v>
      </c>
      <c r="BS26" s="19" t="n">
        <v>0</v>
      </c>
      <c r="BT26" s="19" t="n">
        <v>400000000000</v>
      </c>
      <c r="BU26" s="19" t="n">
        <v>200000000000</v>
      </c>
      <c r="BV26" s="19" t="n">
        <v>100000000000</v>
      </c>
      <c r="BW26" s="19" t="n">
        <v>100000000000</v>
      </c>
      <c r="BX26" s="19" t="n">
        <v>23400000000</v>
      </c>
      <c r="BY26" s="19" t="n">
        <v>23400000000</v>
      </c>
      <c r="BZ26" s="19" t="n">
        <v>23400000000</v>
      </c>
      <c r="CA26" s="19" t="n">
        <v>23400000000</v>
      </c>
      <c r="CB26" s="19" t="n">
        <v>23400000000</v>
      </c>
      <c r="CC26" s="19" t="n">
        <v>23400000000</v>
      </c>
      <c r="CD26" s="19" t="n">
        <v>23400000000</v>
      </c>
      <c r="CE26" s="19" t="n">
        <v>23400000000</v>
      </c>
      <c r="CF26" s="19" t="n">
        <v>23400000000</v>
      </c>
      <c r="CG26" s="19" t="n">
        <v>23400000000</v>
      </c>
      <c r="CH26" s="19" t="n">
        <v>23400000000</v>
      </c>
      <c r="CI26" s="19" t="n">
        <v>23400000000</v>
      </c>
      <c r="CJ26" s="19" t="n">
        <v>0</v>
      </c>
      <c r="CK26" s="19" t="n">
        <v>0</v>
      </c>
      <c r="CL26" s="19" t="n">
        <v>0</v>
      </c>
      <c r="CM26" s="19" t="n">
        <v>0</v>
      </c>
      <c r="CN26" s="19" t="n">
        <v>0</v>
      </c>
      <c r="CO26" s="19" t="n">
        <v>0</v>
      </c>
      <c r="CP26" s="19" t="n">
        <v>0</v>
      </c>
      <c r="CQ26" s="19" t="n">
        <v>0</v>
      </c>
      <c r="CR26" s="19" t="n">
        <v>0</v>
      </c>
      <c r="CS26" s="19" t="n">
        <v>0</v>
      </c>
      <c r="CT26" s="19" t="n">
        <v>0</v>
      </c>
      <c r="CU26" s="19" t="n">
        <v>0</v>
      </c>
      <c r="CV26" s="19" t="n">
        <v>0</v>
      </c>
      <c r="CW26" s="19" t="n">
        <v>0</v>
      </c>
      <c r="CX26" s="19" t="n">
        <v>0</v>
      </c>
      <c r="CY26" s="19" t="n">
        <v>0</v>
      </c>
      <c r="CZ26" s="19" t="n">
        <v>0</v>
      </c>
      <c r="DA26" s="19" t="n">
        <v>0</v>
      </c>
      <c r="DB26" s="19" t="n">
        <v>0</v>
      </c>
      <c r="DC26" s="19" t="n">
        <v>0</v>
      </c>
      <c r="DD26" s="19" t="n">
        <v>0</v>
      </c>
      <c r="DE26" s="19" t="n">
        <v>0</v>
      </c>
      <c r="DF26" s="19" t="n">
        <v>0</v>
      </c>
      <c r="DG26" s="19" t="n">
        <v>0</v>
      </c>
      <c r="DH26" s="19" t="n">
        <v>0</v>
      </c>
      <c r="DI26" s="19" t="n">
        <v>0</v>
      </c>
      <c r="DJ26" s="19" t="n">
        <v>0</v>
      </c>
      <c r="DK26" s="19" t="n">
        <v>0</v>
      </c>
      <c r="DL26" s="19" t="n">
        <v>0</v>
      </c>
      <c r="DM26" s="19" t="n">
        <v>0</v>
      </c>
      <c r="DN26" s="19" t="n">
        <v>0</v>
      </c>
      <c r="DO26" s="19" t="n">
        <v>0</v>
      </c>
      <c r="DP26" s="19" t="n">
        <v>0</v>
      </c>
      <c r="DQ26" s="19" t="n">
        <v>0</v>
      </c>
      <c r="DR26" s="19" t="n">
        <v>0</v>
      </c>
      <c r="DS26" s="19" t="n">
        <v>0</v>
      </c>
      <c r="DT26" s="19" t="n">
        <v>0</v>
      </c>
      <c r="DU26" s="19" t="n">
        <v>0</v>
      </c>
      <c r="DV26" s="19" t="n">
        <v>0</v>
      </c>
      <c r="DW26" s="19" t="n">
        <v>0</v>
      </c>
      <c r="DX26" s="19" t="n">
        <v>0</v>
      </c>
      <c r="DY26" s="19" t="n">
        <v>0</v>
      </c>
      <c r="DZ26" s="19" t="n">
        <v>0</v>
      </c>
      <c r="EA26" s="19" t="n">
        <v>0</v>
      </c>
      <c r="EB26" s="19" t="n">
        <v>0</v>
      </c>
      <c r="EC26" s="19" t="n">
        <v>0</v>
      </c>
      <c r="ED26" s="19" t="n">
        <v>0</v>
      </c>
      <c r="EE26" s="19" t="n">
        <v>0</v>
      </c>
      <c r="EF26" s="19" t="n">
        <v>125000000000</v>
      </c>
      <c r="EG26" s="19" t="n">
        <v>62500000000</v>
      </c>
      <c r="EH26" s="19" t="n">
        <v>31200000000</v>
      </c>
      <c r="EI26" s="19" t="n">
        <v>31200000000</v>
      </c>
      <c r="EJ26" s="19" t="n">
        <v>1000000000000</v>
      </c>
      <c r="EK26" s="19" t="n">
        <v>1000000000000</v>
      </c>
      <c r="EL26" s="19" t="n">
        <v>4.3</v>
      </c>
      <c r="EM26" s="19" t="n">
        <v>3583333333.3333</v>
      </c>
      <c r="EN26" s="19" t="n">
        <v>20</v>
      </c>
    </row>
    <row r="27">
      <c r="A27" t="inlineStr">
        <is>
          <t>2025-12-31-S01020300000000</t>
        </is>
      </c>
      <c r="B27" t="inlineStr">
        <is>
          <t>2025-12-31</t>
        </is>
      </c>
      <c r="C27" t="inlineStr">
        <is>
          <t>S01020300000000</t>
        </is>
      </c>
      <c r="D27" s="17" t="inlineStr">
        <is>
          <t xml:space="preserve">　　3. 外币非生息资产</t>
        </is>
      </c>
      <c r="E27" s="18" t="n">
        <v>3</v>
      </c>
      <c r="F27" t="inlineStr">
        <is>
          <t>S01020000000000</t>
        </is>
      </c>
      <c r="G27" t="n">
        <v>1</v>
      </c>
      <c r="H27" t="inlineStr">
        <is>
          <t>ASSET</t>
        </is>
      </c>
      <c r="I27" t="inlineStr">
        <is>
          <t>RSF</t>
        </is>
      </c>
      <c r="J27" t="n">
        <v>0</v>
      </c>
      <c r="K27" s="38" t="n">
        <v>528862504698.8205</v>
      </c>
      <c r="L27" s="39">
        <f>SUMPRODUCT($C75:$C134,$B$114:$B$173)+C135*$B$175+C136*$B$176+C137*$B$177+C138*$B$178</f>
        <v/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20000000000</v>
      </c>
      <c r="R27" s="19" t="n">
        <v>0</v>
      </c>
      <c r="S27" s="19" t="n">
        <v>0</v>
      </c>
      <c r="T27" s="19" t="n">
        <v>0</v>
      </c>
      <c r="U27" s="19" t="n">
        <v>0</v>
      </c>
      <c r="V27" s="19" t="n">
        <v>0</v>
      </c>
      <c r="W27" s="19" t="n">
        <v>30000000000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400000000000</v>
      </c>
      <c r="BU27" s="19" t="n">
        <v>200000000000</v>
      </c>
      <c r="BV27" s="19" t="n">
        <v>100000000000</v>
      </c>
      <c r="BW27" s="19" t="n">
        <v>100000000000</v>
      </c>
      <c r="BX27" s="19" t="n">
        <v>23400000000</v>
      </c>
      <c r="BY27" s="19" t="n">
        <v>23400000000</v>
      </c>
      <c r="BZ27" s="19" t="n">
        <v>23400000000</v>
      </c>
      <c r="CA27" s="19" t="n">
        <v>23400000000</v>
      </c>
      <c r="CB27" s="19" t="n">
        <v>23400000000</v>
      </c>
      <c r="CC27" s="19" t="n">
        <v>23400000000</v>
      </c>
      <c r="CD27" s="19" t="n">
        <v>23400000000</v>
      </c>
      <c r="CE27" s="19" t="n">
        <v>23400000000</v>
      </c>
      <c r="CF27" s="19" t="n">
        <v>23400000000</v>
      </c>
      <c r="CG27" s="19" t="n">
        <v>23400000000</v>
      </c>
      <c r="CH27" s="19" t="n">
        <v>23400000000</v>
      </c>
      <c r="CI27" s="19" t="n">
        <v>23400000000</v>
      </c>
      <c r="CJ27" s="19" t="n">
        <v>0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9" t="n">
        <v>0</v>
      </c>
      <c r="CS27" s="19" t="n">
        <v>0</v>
      </c>
      <c r="CT27" s="19" t="n">
        <v>0</v>
      </c>
      <c r="CU27" s="19" t="n">
        <v>0</v>
      </c>
      <c r="CV27" s="19" t="n">
        <v>0</v>
      </c>
      <c r="CW27" s="19" t="n">
        <v>0</v>
      </c>
      <c r="CX27" s="19" t="n">
        <v>0</v>
      </c>
      <c r="CY27" s="19" t="n">
        <v>0</v>
      </c>
      <c r="CZ27" s="19" t="n">
        <v>0</v>
      </c>
      <c r="DA27" s="19" t="n">
        <v>0</v>
      </c>
      <c r="DB27" s="19" t="n">
        <v>0</v>
      </c>
      <c r="DC27" s="19" t="n">
        <v>0</v>
      </c>
      <c r="DD27" s="19" t="n">
        <v>0</v>
      </c>
      <c r="DE27" s="19" t="n">
        <v>0</v>
      </c>
      <c r="DF27" s="19" t="n">
        <v>0</v>
      </c>
      <c r="DG27" s="19" t="n">
        <v>0</v>
      </c>
      <c r="DH27" s="19" t="n">
        <v>0</v>
      </c>
      <c r="DI27" s="19" t="n">
        <v>0</v>
      </c>
      <c r="DJ27" s="19" t="n">
        <v>0</v>
      </c>
      <c r="DK27" s="19" t="n">
        <v>0</v>
      </c>
      <c r="DL27" s="19" t="n">
        <v>0</v>
      </c>
      <c r="DM27" s="19" t="n">
        <v>0</v>
      </c>
      <c r="DN27" s="19" t="n">
        <v>0</v>
      </c>
      <c r="DO27" s="19" t="n">
        <v>0</v>
      </c>
      <c r="DP27" s="19" t="n">
        <v>0</v>
      </c>
      <c r="DQ27" s="19" t="n">
        <v>0</v>
      </c>
      <c r="DR27" s="19" t="n">
        <v>0</v>
      </c>
      <c r="DS27" s="19" t="n">
        <v>0</v>
      </c>
      <c r="DT27" s="19" t="n">
        <v>0</v>
      </c>
      <c r="DU27" s="19" t="n">
        <v>0</v>
      </c>
      <c r="DV27" s="19" t="n">
        <v>0</v>
      </c>
      <c r="DW27" s="19" t="n">
        <v>0</v>
      </c>
      <c r="DX27" s="19" t="n">
        <v>0</v>
      </c>
      <c r="DY27" s="19" t="n">
        <v>0</v>
      </c>
      <c r="DZ27" s="19" t="n">
        <v>0</v>
      </c>
      <c r="EA27" s="19" t="n">
        <v>0</v>
      </c>
      <c r="EB27" s="19" t="n">
        <v>0</v>
      </c>
      <c r="EC27" s="19" t="n">
        <v>0</v>
      </c>
      <c r="ED27" s="19" t="n">
        <v>0</v>
      </c>
      <c r="EE27" s="19" t="n">
        <v>0</v>
      </c>
      <c r="EF27" s="19" t="n">
        <v>125000000000</v>
      </c>
      <c r="EG27" s="19" t="n">
        <v>62500000000</v>
      </c>
      <c r="EH27" s="19" t="n">
        <v>31200000000</v>
      </c>
      <c r="EI27" s="19" t="n">
        <v>31200000000</v>
      </c>
      <c r="EJ27" s="19" t="n">
        <v>1000000000000</v>
      </c>
      <c r="EK27" s="19" t="n">
        <v>1000000000000</v>
      </c>
      <c r="EL27" s="19" t="n">
        <v>0</v>
      </c>
      <c r="EM27" s="19" t="n">
        <v>0</v>
      </c>
      <c r="EN27" s="19" t="n">
        <v>50</v>
      </c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n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0" t="inlineStr"/>
      <c r="AY28" s="20" t="inlineStr"/>
      <c r="AZ28" s="20" t="inlineStr"/>
      <c r="BA28" s="20" t="inlineStr"/>
      <c r="BB28" s="20" t="inlineStr"/>
      <c r="BC28" s="20" t="inlineStr"/>
      <c r="BD28" s="20" t="inlineStr"/>
      <c r="BE28" s="20" t="inlineStr"/>
      <c r="BF28" s="20" t="inlineStr"/>
      <c r="BG28" s="20" t="inlineStr"/>
      <c r="BH28" s="20" t="inlineStr"/>
      <c r="BI28" s="20" t="inlineStr"/>
      <c r="BJ28" s="20" t="inlineStr"/>
      <c r="BK28" s="20" t="inlineStr"/>
      <c r="BL28" s="20" t="inlineStr"/>
      <c r="BM28" s="20" t="inlineStr"/>
      <c r="BN28" s="20" t="inlineStr"/>
      <c r="BO28" s="20" t="inlineStr"/>
      <c r="BP28" s="20" t="inlineStr"/>
      <c r="BQ28" s="20" t="inlineStr"/>
      <c r="BR28" s="20" t="inlineStr"/>
      <c r="BS28" s="20" t="inlineStr"/>
      <c r="BT28" s="20" t="inlineStr"/>
      <c r="BU28" s="20" t="inlineStr"/>
      <c r="BV28" s="20" t="inlineStr"/>
      <c r="BW28" s="20" t="inlineStr"/>
      <c r="BX28" s="20" t="inlineStr"/>
      <c r="BY28" s="20" t="inlineStr"/>
      <c r="BZ28" s="20" t="inlineStr"/>
      <c r="CA28" s="20" t="inlineStr"/>
      <c r="CB28" s="20" t="inlineStr"/>
      <c r="CC28" s="20" t="inlineStr"/>
      <c r="CD28" s="20" t="inlineStr"/>
      <c r="CE28" s="20" t="inlineStr"/>
      <c r="CF28" s="20" t="inlineStr"/>
      <c r="CG28" s="20" t="inlineStr"/>
      <c r="CH28" s="20" t="inlineStr"/>
      <c r="CI28" s="20" t="inlineStr"/>
      <c r="CJ28" s="20" t="inlineStr"/>
      <c r="CK28" s="20" t="inlineStr"/>
      <c r="CL28" s="20" t="inlineStr"/>
      <c r="CM28" s="20" t="inlineStr"/>
      <c r="CN28" s="20" t="inlineStr"/>
      <c r="CO28" s="20" t="inlineStr"/>
      <c r="CP28" s="20" t="inlineStr"/>
      <c r="CQ28" s="20" t="inlineStr"/>
      <c r="CR28" s="20" t="inlineStr"/>
      <c r="CS28" s="20" t="inlineStr"/>
      <c r="CT28" s="20" t="inlineStr"/>
      <c r="CU28" s="20" t="inlineStr"/>
      <c r="CV28" s="20" t="inlineStr"/>
      <c r="CW28" s="20" t="inlineStr"/>
      <c r="CX28" s="20" t="inlineStr"/>
      <c r="CY28" s="20" t="inlineStr"/>
      <c r="CZ28" s="20" t="inlineStr"/>
      <c r="DA28" s="20" t="inlineStr"/>
      <c r="DB28" s="20" t="inlineStr"/>
      <c r="DC28" s="20" t="inlineStr"/>
      <c r="DD28" s="20" t="inlineStr"/>
      <c r="DE28" s="20" t="inlineStr"/>
      <c r="DF28" s="20" t="inlineStr"/>
      <c r="DG28" s="20" t="inlineStr"/>
      <c r="DH28" s="20" t="inlineStr"/>
      <c r="DI28" s="20" t="inlineStr"/>
      <c r="DJ28" s="20" t="inlineStr"/>
      <c r="DK28" s="20" t="inlineStr"/>
      <c r="DL28" s="20" t="inlineStr"/>
      <c r="DM28" s="20" t="inlineStr"/>
      <c r="DN28" s="20" t="inlineStr"/>
      <c r="DO28" s="20" t="inlineStr"/>
      <c r="DP28" s="20" t="inlineStr"/>
      <c r="DQ28" s="20" t="inlineStr"/>
      <c r="DR28" s="20" t="inlineStr"/>
      <c r="DS28" s="20" t="inlineStr"/>
      <c r="DT28" s="20" t="inlineStr"/>
      <c r="DU28" s="20" t="inlineStr"/>
      <c r="DV28" s="20" t="inlineStr"/>
      <c r="DW28" s="20" t="inlineStr"/>
      <c r="DX28" s="20" t="inlineStr"/>
      <c r="DY28" s="20" t="inlineStr"/>
      <c r="DZ28" s="20" t="inlineStr"/>
      <c r="EA28" s="20" t="inlineStr"/>
      <c r="EB28" s="20" t="inlineStr"/>
      <c r="EC28" s="20" t="inlineStr"/>
      <c r="ED28" s="20" t="inlineStr"/>
      <c r="EE28" s="20" t="inlineStr"/>
      <c r="EF28" s="20" t="inlineStr"/>
      <c r="EG28" s="20" t="inlineStr"/>
      <c r="EH28" s="20" t="inlineStr"/>
      <c r="EI28" s="20" t="inlineStr"/>
      <c r="EJ28" s="20" t="inlineStr"/>
      <c r="EK28" s="20" t="inlineStr"/>
      <c r="EL28" s="20" t="inlineStr"/>
      <c r="EM28" s="20" t="inlineStr"/>
      <c r="EN28" s="20" t="inlineStr"/>
    </row>
    <row r="29">
      <c r="A29" s="9" t="inlineStr">
        <is>
          <t>2025-12-31-S02000000000000</t>
        </is>
      </c>
      <c r="B29" s="9" t="inlineStr">
        <is>
          <t>2025-12-31</t>
        </is>
      </c>
      <c r="C29" s="9" t="inlineStr">
        <is>
          <t>S02000000000000</t>
        </is>
      </c>
      <c r="D29" s="10" t="inlineStr">
        <is>
          <t>总负债</t>
        </is>
      </c>
      <c r="E29" s="11" t="n">
        <v>1</v>
      </c>
      <c r="F29" s="9" t="inlineStr"/>
      <c r="G29" s="9" t="n">
        <v>0</v>
      </c>
      <c r="H29" s="9" t="inlineStr">
        <is>
          <t>LIAB</t>
        </is>
      </c>
      <c r="I29" s="9" t="inlineStr"/>
      <c r="J29" s="9" t="n">
        <v>0</v>
      </c>
      <c r="K29" s="34" t="n">
        <v>97332054915797.16</v>
      </c>
      <c r="L29" s="35">
        <f>SUMPRODUCT($C75:$C134,$B$114:$B$173)+C135*$B$175+C136*$B$176+C137*$B$177+C138*$B$178</f>
        <v/>
      </c>
      <c r="M29" s="12" t="n">
        <v>8163400000000</v>
      </c>
      <c r="N29" s="12" t="n">
        <v>8163400000000</v>
      </c>
      <c r="O29" s="12" t="n">
        <v>8163400000000</v>
      </c>
      <c r="P29" s="12" t="n">
        <v>8163400000000</v>
      </c>
      <c r="Q29" s="12" t="n">
        <v>8163400000000</v>
      </c>
      <c r="R29" s="12" t="n">
        <v>8163400000000</v>
      </c>
      <c r="S29" s="12" t="n">
        <v>8163400000000</v>
      </c>
      <c r="T29" s="12" t="n">
        <v>8163400000000</v>
      </c>
      <c r="U29" s="12" t="n">
        <v>8163400000000</v>
      </c>
      <c r="V29" s="12" t="n">
        <v>8163400000000</v>
      </c>
      <c r="W29" s="12" t="n">
        <v>8163400000000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17297000000000</v>
      </c>
      <c r="BY29" s="12" t="n">
        <v>17297000000000</v>
      </c>
      <c r="BZ29" s="12" t="n">
        <v>11524800000000</v>
      </c>
      <c r="CA29" s="12" t="n">
        <v>5762400000000</v>
      </c>
      <c r="CB29" s="12" t="n">
        <v>5762400000000</v>
      </c>
      <c r="CC29" s="12" t="n">
        <v>5762400000000</v>
      </c>
      <c r="CD29" s="12" t="n">
        <v>5762400000000</v>
      </c>
      <c r="CE29" s="12" t="n">
        <v>5762400000000</v>
      </c>
      <c r="CF29" s="12" t="n">
        <v>5762400000000</v>
      </c>
      <c r="CG29" s="12" t="n">
        <v>5762400000000</v>
      </c>
      <c r="CH29" s="12" t="n">
        <v>5762400000000</v>
      </c>
      <c r="CI29" s="12" t="n">
        <v>5762400000000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98000000000000</v>
      </c>
      <c r="EK29" s="12" t="n">
        <v>98000000000000</v>
      </c>
      <c r="EL29" s="12" t="n">
        <v>1.85</v>
      </c>
      <c r="EM29" s="12" t="n">
        <v>151083333333.333</v>
      </c>
      <c r="EN29" s="12" t="n">
        <v>0</v>
      </c>
    </row>
    <row r="30">
      <c r="A30" s="13" t="inlineStr">
        <is>
          <t>2025-12-31-S02010000000000</t>
        </is>
      </c>
      <c r="B30" s="13" t="inlineStr">
        <is>
          <t>2025-12-31</t>
        </is>
      </c>
      <c r="C30" s="13" t="inlineStr">
        <is>
          <t>S02010000000000</t>
        </is>
      </c>
      <c r="D30" s="14" t="inlineStr">
        <is>
          <t xml:space="preserve">　（一）人民币小计</t>
        </is>
      </c>
      <c r="E30" s="15" t="n">
        <v>2</v>
      </c>
      <c r="F30" s="13" t="inlineStr">
        <is>
          <t>S02000000000000</t>
        </is>
      </c>
      <c r="G30" s="13" t="n">
        <v>0</v>
      </c>
      <c r="H30" s="13" t="inlineStr">
        <is>
          <t>LIAB</t>
        </is>
      </c>
      <c r="I30" s="13" t="inlineStr"/>
      <c r="J30" s="13" t="n">
        <v>0</v>
      </c>
      <c r="K30" s="36" t="n">
        <v>91372949512789.16</v>
      </c>
      <c r="L30" s="37">
        <f>SUMPRODUCT($C75:$C134,$B$114:$B$173)+C135*$B$175+C136*$B$176+C137*$B$177+C138*$B$178</f>
        <v/>
      </c>
      <c r="M30" s="16" t="n">
        <v>7663600000000</v>
      </c>
      <c r="N30" s="16" t="n">
        <v>7663600000000</v>
      </c>
      <c r="O30" s="16" t="n">
        <v>7663600000000</v>
      </c>
      <c r="P30" s="16" t="n">
        <v>7663600000000</v>
      </c>
      <c r="Q30" s="16" t="n">
        <v>7663600000000</v>
      </c>
      <c r="R30" s="16" t="n">
        <v>7663600000000</v>
      </c>
      <c r="S30" s="16" t="n">
        <v>7663600000000</v>
      </c>
      <c r="T30" s="16" t="n">
        <v>7663600000000</v>
      </c>
      <c r="U30" s="16" t="n">
        <v>7663600000000</v>
      </c>
      <c r="V30" s="16" t="n">
        <v>7663600000000</v>
      </c>
      <c r="W30" s="16" t="n">
        <v>7663600000000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16238000000000</v>
      </c>
      <c r="BY30" s="16" t="n">
        <v>16238000000000</v>
      </c>
      <c r="BZ30" s="16" t="n">
        <v>10819200000000</v>
      </c>
      <c r="CA30" s="16" t="n">
        <v>5409600000000</v>
      </c>
      <c r="CB30" s="16" t="n">
        <v>5409600000000</v>
      </c>
      <c r="CC30" s="16" t="n">
        <v>5409600000000</v>
      </c>
      <c r="CD30" s="16" t="n">
        <v>5409600000000</v>
      </c>
      <c r="CE30" s="16" t="n">
        <v>5409600000000</v>
      </c>
      <c r="CF30" s="16" t="n">
        <v>5409600000000</v>
      </c>
      <c r="CG30" s="16" t="n">
        <v>5409600000000</v>
      </c>
      <c r="CH30" s="16" t="n">
        <v>5409600000000</v>
      </c>
      <c r="CI30" s="16" t="n">
        <v>5409600000000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0</v>
      </c>
      <c r="CR30" s="16" t="n">
        <v>0</v>
      </c>
      <c r="CS30" s="16" t="n">
        <v>0</v>
      </c>
      <c r="CT30" s="16" t="n">
        <v>0</v>
      </c>
      <c r="CU30" s="16" t="n">
        <v>0</v>
      </c>
      <c r="CV30" s="16" t="n">
        <v>0</v>
      </c>
      <c r="CW30" s="16" t="n">
        <v>0</v>
      </c>
      <c r="CX30" s="16" t="n">
        <v>0</v>
      </c>
      <c r="CY30" s="16" t="n">
        <v>0</v>
      </c>
      <c r="CZ30" s="16" t="n">
        <v>0</v>
      </c>
      <c r="DA30" s="16" t="n">
        <v>0</v>
      </c>
      <c r="DB30" s="16" t="n">
        <v>0</v>
      </c>
      <c r="DC30" s="16" t="n">
        <v>0</v>
      </c>
      <c r="DD30" s="16" t="n">
        <v>0</v>
      </c>
      <c r="DE30" s="16" t="n">
        <v>0</v>
      </c>
      <c r="DF30" s="16" t="n">
        <v>0</v>
      </c>
      <c r="DG30" s="16" t="n">
        <v>0</v>
      </c>
      <c r="DH30" s="16" t="n">
        <v>0</v>
      </c>
      <c r="DI30" s="16" t="n">
        <v>0</v>
      </c>
      <c r="DJ30" s="16" t="n">
        <v>0</v>
      </c>
      <c r="DK30" s="16" t="n">
        <v>0</v>
      </c>
      <c r="DL30" s="16" t="n">
        <v>0</v>
      </c>
      <c r="DM30" s="16" t="n">
        <v>0</v>
      </c>
      <c r="DN30" s="16" t="n">
        <v>0</v>
      </c>
      <c r="DO30" s="16" t="n">
        <v>0</v>
      </c>
      <c r="DP30" s="16" t="n">
        <v>0</v>
      </c>
      <c r="DQ30" s="16" t="n">
        <v>0</v>
      </c>
      <c r="DR30" s="16" t="n">
        <v>0</v>
      </c>
      <c r="DS30" s="16" t="n">
        <v>0</v>
      </c>
      <c r="DT30" s="16" t="n">
        <v>0</v>
      </c>
      <c r="DU30" s="16" t="n">
        <v>0</v>
      </c>
      <c r="DV30" s="16" t="n">
        <v>0</v>
      </c>
      <c r="DW30" s="16" t="n">
        <v>0</v>
      </c>
      <c r="DX30" s="16" t="n">
        <v>0</v>
      </c>
      <c r="DY30" s="16" t="n">
        <v>0</v>
      </c>
      <c r="DZ30" s="16" t="n">
        <v>0</v>
      </c>
      <c r="EA30" s="16" t="n">
        <v>0</v>
      </c>
      <c r="EB30" s="16" t="n">
        <v>0</v>
      </c>
      <c r="EC30" s="16" t="n">
        <v>0</v>
      </c>
      <c r="ED30" s="16" t="n">
        <v>0</v>
      </c>
      <c r="EE30" s="16" t="n">
        <v>0</v>
      </c>
      <c r="EF30" s="16" t="n">
        <v>0</v>
      </c>
      <c r="EG30" s="16" t="n">
        <v>0</v>
      </c>
      <c r="EH30" s="16" t="n">
        <v>0</v>
      </c>
      <c r="EI30" s="16" t="n">
        <v>0</v>
      </c>
      <c r="EJ30" s="16" t="n">
        <v>92000000000000</v>
      </c>
      <c r="EK30" s="16" t="n">
        <v>92000000000000</v>
      </c>
      <c r="EL30" s="16" t="n">
        <v>1.82</v>
      </c>
      <c r="EM30" s="16" t="n">
        <v>139533333333.333</v>
      </c>
      <c r="EN30" s="16" t="n">
        <v>0</v>
      </c>
    </row>
    <row r="31">
      <c r="A31" t="inlineStr">
        <is>
          <t>2025-12-31-S02010100000000</t>
        </is>
      </c>
      <c r="B31" t="inlineStr">
        <is>
          <t>2025-12-31</t>
        </is>
      </c>
      <c r="C31" t="inlineStr">
        <is>
          <t>S02010100000000</t>
        </is>
      </c>
      <c r="D31" s="17" t="inlineStr">
        <is>
          <t xml:space="preserve">　　1. 境内人民币自营存款</t>
        </is>
      </c>
      <c r="E31" s="18" t="n">
        <v>3</v>
      </c>
      <c r="F31" t="inlineStr">
        <is>
          <t>S02010000000000</t>
        </is>
      </c>
      <c r="G31" t="n">
        <v>0</v>
      </c>
      <c r="H31" t="inlineStr">
        <is>
          <t>LIAB</t>
        </is>
      </c>
      <c r="J31" t="n">
        <v>0</v>
      </c>
      <c r="K31" s="38" t="n">
        <v>79454738706773.19</v>
      </c>
      <c r="L31" s="39">
        <f>SUMPRODUCT($C75:$C134,$B$114:$B$173)+C135*$B$175+C136*$B$176+C137*$B$177+C138*$B$178</f>
        <v/>
      </c>
      <c r="M31" s="19" t="n">
        <v>6664000000000</v>
      </c>
      <c r="N31" s="19" t="n">
        <v>6664000000000</v>
      </c>
      <c r="O31" s="19" t="n">
        <v>6664000000000</v>
      </c>
      <c r="P31" s="19" t="n">
        <v>6664000000000</v>
      </c>
      <c r="Q31" s="19" t="n">
        <v>6664000000000</v>
      </c>
      <c r="R31" s="19" t="n">
        <v>6664000000000</v>
      </c>
      <c r="S31" s="19" t="n">
        <v>6664000000000</v>
      </c>
      <c r="T31" s="19" t="n">
        <v>6664000000000</v>
      </c>
      <c r="U31" s="19" t="n">
        <v>6664000000000</v>
      </c>
      <c r="V31" s="19" t="n">
        <v>6664000000000</v>
      </c>
      <c r="W31" s="19" t="n">
        <v>6664000000000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14120000000000</v>
      </c>
      <c r="BY31" s="19" t="n">
        <v>14120000000000</v>
      </c>
      <c r="BZ31" s="19" t="n">
        <v>9408000000000</v>
      </c>
      <c r="CA31" s="19" t="n">
        <v>4704000000000</v>
      </c>
      <c r="CB31" s="19" t="n">
        <v>4704000000000</v>
      </c>
      <c r="CC31" s="19" t="n">
        <v>4704000000000</v>
      </c>
      <c r="CD31" s="19" t="n">
        <v>4704000000000</v>
      </c>
      <c r="CE31" s="19" t="n">
        <v>4704000000000</v>
      </c>
      <c r="CF31" s="19" t="n">
        <v>4704000000000</v>
      </c>
      <c r="CG31" s="19" t="n">
        <v>4704000000000</v>
      </c>
      <c r="CH31" s="19" t="n">
        <v>4704000000000</v>
      </c>
      <c r="CI31" s="19" t="n">
        <v>4704000000000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19" t="n">
        <v>0</v>
      </c>
      <c r="CU31" s="19" t="n">
        <v>0</v>
      </c>
      <c r="CV31" s="19" t="n">
        <v>0</v>
      </c>
      <c r="CW31" s="19" t="n">
        <v>0</v>
      </c>
      <c r="CX31" s="19" t="n">
        <v>0</v>
      </c>
      <c r="CY31" s="19" t="n">
        <v>0</v>
      </c>
      <c r="CZ31" s="19" t="n">
        <v>0</v>
      </c>
      <c r="DA31" s="19" t="n">
        <v>0</v>
      </c>
      <c r="DB31" s="19" t="n">
        <v>0</v>
      </c>
      <c r="DC31" s="19" t="n">
        <v>0</v>
      </c>
      <c r="DD31" s="19" t="n">
        <v>0</v>
      </c>
      <c r="DE31" s="19" t="n">
        <v>0</v>
      </c>
      <c r="DF31" s="19" t="n">
        <v>0</v>
      </c>
      <c r="DG31" s="19" t="n">
        <v>0</v>
      </c>
      <c r="DH31" s="19" t="n">
        <v>0</v>
      </c>
      <c r="DI31" s="19" t="n">
        <v>0</v>
      </c>
      <c r="DJ31" s="19" t="n">
        <v>0</v>
      </c>
      <c r="DK31" s="19" t="n">
        <v>0</v>
      </c>
      <c r="DL31" s="19" t="n">
        <v>0</v>
      </c>
      <c r="DM31" s="19" t="n">
        <v>0</v>
      </c>
      <c r="DN31" s="19" t="n">
        <v>0</v>
      </c>
      <c r="DO31" s="19" t="n">
        <v>0</v>
      </c>
      <c r="DP31" s="19" t="n">
        <v>0</v>
      </c>
      <c r="DQ31" s="19" t="n">
        <v>0</v>
      </c>
      <c r="DR31" s="19" t="n">
        <v>0</v>
      </c>
      <c r="DS31" s="19" t="n">
        <v>0</v>
      </c>
      <c r="DT31" s="19" t="n">
        <v>0</v>
      </c>
      <c r="DU31" s="19" t="n">
        <v>0</v>
      </c>
      <c r="DV31" s="19" t="n">
        <v>0</v>
      </c>
      <c r="DW31" s="19" t="n">
        <v>0</v>
      </c>
      <c r="DX31" s="19" t="n">
        <v>0</v>
      </c>
      <c r="DY31" s="19" t="n">
        <v>0</v>
      </c>
      <c r="DZ31" s="19" t="n">
        <v>0</v>
      </c>
      <c r="EA31" s="19" t="n">
        <v>0</v>
      </c>
      <c r="EB31" s="19" t="n">
        <v>0</v>
      </c>
      <c r="EC31" s="19" t="n">
        <v>0</v>
      </c>
      <c r="ED31" s="19" t="n">
        <v>0</v>
      </c>
      <c r="EE31" s="19" t="n">
        <v>0</v>
      </c>
      <c r="EF31" s="19" t="n">
        <v>0</v>
      </c>
      <c r="EG31" s="19" t="n">
        <v>0</v>
      </c>
      <c r="EH31" s="19" t="n">
        <v>0</v>
      </c>
      <c r="EI31" s="19" t="n">
        <v>0</v>
      </c>
      <c r="EJ31" s="19" t="n">
        <v>80000000000000</v>
      </c>
      <c r="EK31" s="19" t="n">
        <v>80000000000000</v>
      </c>
      <c r="EL31" s="19" t="n">
        <v>1.65</v>
      </c>
      <c r="EM31" s="19" t="n">
        <v>110000000000</v>
      </c>
      <c r="EN31" s="19" t="n">
        <v>0</v>
      </c>
    </row>
    <row r="32">
      <c r="A32" t="inlineStr">
        <is>
          <t>2025-12-31-S02010101000000</t>
        </is>
      </c>
      <c r="B32" t="inlineStr">
        <is>
          <t>2025-12-31</t>
        </is>
      </c>
      <c r="C32" t="inlineStr">
        <is>
          <t>S02010101000000</t>
        </is>
      </c>
      <c r="D32" s="17" t="inlineStr">
        <is>
          <t xml:space="preserve">　　　1.1. 对公存款</t>
        </is>
      </c>
      <c r="E32" s="18" t="n">
        <v>4</v>
      </c>
      <c r="F32" t="inlineStr">
        <is>
          <t>S02010100000000</t>
        </is>
      </c>
      <c r="G32" t="n">
        <v>0</v>
      </c>
      <c r="H32" t="inlineStr">
        <is>
          <t>LIAB</t>
        </is>
      </c>
      <c r="J32" t="n">
        <v>0</v>
      </c>
      <c r="K32" s="38" t="n">
        <v>47672843224063.91</v>
      </c>
      <c r="L32" s="39">
        <f>SUMPRODUCT($C75:$C134,$B$114:$B$173)+C135*$B$175+C136*$B$176+C137*$B$177+C138*$B$178</f>
        <v/>
      </c>
      <c r="M32" s="19" t="n">
        <v>3998400000000</v>
      </c>
      <c r="N32" s="19" t="n">
        <v>3998400000000</v>
      </c>
      <c r="O32" s="19" t="n">
        <v>3998400000000</v>
      </c>
      <c r="P32" s="19" t="n">
        <v>3998400000000</v>
      </c>
      <c r="Q32" s="19" t="n">
        <v>3998400000000</v>
      </c>
      <c r="R32" s="19" t="n">
        <v>3998400000000</v>
      </c>
      <c r="S32" s="19" t="n">
        <v>3998400000000</v>
      </c>
      <c r="T32" s="19" t="n">
        <v>3998400000000</v>
      </c>
      <c r="U32" s="19" t="n">
        <v>3998400000000</v>
      </c>
      <c r="V32" s="19" t="n">
        <v>3998400000000</v>
      </c>
      <c r="W32" s="19" t="n">
        <v>3998400000000</v>
      </c>
      <c r="X32" s="19" t="n">
        <v>0</v>
      </c>
      <c r="Y32" s="19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8472000000000</v>
      </c>
      <c r="BY32" s="19" t="n">
        <v>8472000000000</v>
      </c>
      <c r="BZ32" s="19" t="n">
        <v>5644800000000</v>
      </c>
      <c r="CA32" s="19" t="n">
        <v>2822400000000</v>
      </c>
      <c r="CB32" s="19" t="n">
        <v>2822400000000</v>
      </c>
      <c r="CC32" s="19" t="n">
        <v>2822400000000</v>
      </c>
      <c r="CD32" s="19" t="n">
        <v>2822400000000</v>
      </c>
      <c r="CE32" s="19" t="n">
        <v>2822400000000</v>
      </c>
      <c r="CF32" s="19" t="n">
        <v>2822400000000</v>
      </c>
      <c r="CG32" s="19" t="n">
        <v>2822400000000</v>
      </c>
      <c r="CH32" s="19" t="n">
        <v>2822400000000</v>
      </c>
      <c r="CI32" s="19" t="n">
        <v>2822400000000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19" t="n">
        <v>0</v>
      </c>
      <c r="CU32" s="19" t="n">
        <v>0</v>
      </c>
      <c r="CV32" s="19" t="n">
        <v>0</v>
      </c>
      <c r="CW32" s="19" t="n">
        <v>0</v>
      </c>
      <c r="CX32" s="19" t="n">
        <v>0</v>
      </c>
      <c r="CY32" s="19" t="n">
        <v>0</v>
      </c>
      <c r="CZ32" s="19" t="n">
        <v>0</v>
      </c>
      <c r="DA32" s="19" t="n">
        <v>0</v>
      </c>
      <c r="DB32" s="19" t="n">
        <v>0</v>
      </c>
      <c r="DC32" s="19" t="n">
        <v>0</v>
      </c>
      <c r="DD32" s="19" t="n">
        <v>0</v>
      </c>
      <c r="DE32" s="19" t="n">
        <v>0</v>
      </c>
      <c r="DF32" s="19" t="n">
        <v>0</v>
      </c>
      <c r="DG32" s="19" t="n">
        <v>0</v>
      </c>
      <c r="DH32" s="19" t="n">
        <v>0</v>
      </c>
      <c r="DI32" s="19" t="n">
        <v>0</v>
      </c>
      <c r="DJ32" s="19" t="n">
        <v>0</v>
      </c>
      <c r="DK32" s="19" t="n">
        <v>0</v>
      </c>
      <c r="DL32" s="19" t="n">
        <v>0</v>
      </c>
      <c r="DM32" s="19" t="n">
        <v>0</v>
      </c>
      <c r="DN32" s="19" t="n">
        <v>0</v>
      </c>
      <c r="DO32" s="19" t="n">
        <v>0</v>
      </c>
      <c r="DP32" s="19" t="n">
        <v>0</v>
      </c>
      <c r="DQ32" s="19" t="n">
        <v>0</v>
      </c>
      <c r="DR32" s="19" t="n">
        <v>0</v>
      </c>
      <c r="DS32" s="19" t="n">
        <v>0</v>
      </c>
      <c r="DT32" s="19" t="n">
        <v>0</v>
      </c>
      <c r="DU32" s="19" t="n">
        <v>0</v>
      </c>
      <c r="DV32" s="19" t="n">
        <v>0</v>
      </c>
      <c r="DW32" s="19" t="n">
        <v>0</v>
      </c>
      <c r="DX32" s="19" t="n">
        <v>0</v>
      </c>
      <c r="DY32" s="19" t="n">
        <v>0</v>
      </c>
      <c r="DZ32" s="19" t="n">
        <v>0</v>
      </c>
      <c r="EA32" s="19" t="n">
        <v>0</v>
      </c>
      <c r="EB32" s="19" t="n">
        <v>0</v>
      </c>
      <c r="EC32" s="19" t="n">
        <v>0</v>
      </c>
      <c r="ED32" s="19" t="n">
        <v>0</v>
      </c>
      <c r="EE32" s="19" t="n">
        <v>0</v>
      </c>
      <c r="EF32" s="19" t="n">
        <v>0</v>
      </c>
      <c r="EG32" s="19" t="n">
        <v>0</v>
      </c>
      <c r="EH32" s="19" t="n">
        <v>0</v>
      </c>
      <c r="EI32" s="19" t="n">
        <v>0</v>
      </c>
      <c r="EJ32" s="19" t="n">
        <v>48000000000000</v>
      </c>
      <c r="EK32" s="19" t="n">
        <v>48000000000000</v>
      </c>
      <c r="EL32" s="19" t="n">
        <v>1.55</v>
      </c>
      <c r="EM32" s="19" t="n">
        <v>62000000000</v>
      </c>
      <c r="EN32" s="19" t="n">
        <v>0</v>
      </c>
    </row>
    <row r="33">
      <c r="A33" t="inlineStr">
        <is>
          <t>2025-12-31-S020101010100</t>
        </is>
      </c>
      <c r="B33" t="inlineStr">
        <is>
          <t>2025-12-31</t>
        </is>
      </c>
      <c r="C33" t="inlineStr">
        <is>
          <t>S020101010100</t>
        </is>
      </c>
      <c r="D33" s="17" t="inlineStr">
        <is>
          <t xml:space="preserve">　　　　1.1.1 对公活期存款</t>
        </is>
      </c>
      <c r="E33" s="18" t="n">
        <v>5</v>
      </c>
      <c r="F33" t="inlineStr">
        <is>
          <t>S02010101000000</t>
        </is>
      </c>
      <c r="G33" t="n">
        <v>1</v>
      </c>
      <c r="H33" t="inlineStr">
        <is>
          <t>LIAB</t>
        </is>
      </c>
      <c r="J33" t="n">
        <v>0</v>
      </c>
      <c r="K33" s="38" t="n">
        <v>25926115848336.62</v>
      </c>
      <c r="L33" s="39">
        <f>SUMPRODUCT($C75:$C134,$B$114:$B$173)+C135*$B$175+C136*$B$176+C137*$B$177+C138*$B$178</f>
        <v/>
      </c>
      <c r="M33" s="19" t="n">
        <v>4334200000000</v>
      </c>
      <c r="N33" s="19" t="n">
        <v>4334200000000</v>
      </c>
      <c r="O33" s="19" t="n">
        <v>4334200000000</v>
      </c>
      <c r="P33" s="19" t="n">
        <v>4334200000000</v>
      </c>
      <c r="Q33" s="19" t="n">
        <v>4334200000000</v>
      </c>
      <c r="R33" s="1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 t="n">
        <v>0</v>
      </c>
      <c r="AH33" s="19" t="n">
        <v>0</v>
      </c>
      <c r="AI33" s="19" t="n">
        <v>0</v>
      </c>
      <c r="AJ33" s="19" t="n">
        <v>0</v>
      </c>
      <c r="AK33" s="19" t="n">
        <v>0</v>
      </c>
      <c r="AL33" s="19" t="n">
        <v>0</v>
      </c>
      <c r="AM33" s="19" t="n">
        <v>0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0</v>
      </c>
      <c r="AT33" s="19" t="n">
        <v>0</v>
      </c>
      <c r="AU33" s="19" t="n">
        <v>0</v>
      </c>
      <c r="AV33" s="19" t="n">
        <v>0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0</v>
      </c>
      <c r="BL33" s="19" t="n">
        <v>0</v>
      </c>
      <c r="BM33" s="19" t="n">
        <v>0</v>
      </c>
      <c r="BN33" s="19" t="n">
        <v>0</v>
      </c>
      <c r="BO33" s="19" t="n">
        <v>0</v>
      </c>
      <c r="BP33" s="19" t="n">
        <v>0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13000000000000</v>
      </c>
      <c r="BY33" s="19" t="n">
        <v>7800000000000</v>
      </c>
      <c r="BZ33" s="19" t="n">
        <v>5200000000000</v>
      </c>
      <c r="CA33" s="19" t="n">
        <v>0</v>
      </c>
      <c r="CB33" s="19" t="n">
        <v>0</v>
      </c>
      <c r="CC33" s="19" t="n">
        <v>0</v>
      </c>
      <c r="CD33" s="19" t="n">
        <v>0</v>
      </c>
      <c r="CE33" s="19" t="n">
        <v>0</v>
      </c>
      <c r="CF33" s="19" t="n">
        <v>0</v>
      </c>
      <c r="CG33" s="19" t="n">
        <v>0</v>
      </c>
      <c r="CH33" s="19" t="n">
        <v>0</v>
      </c>
      <c r="CI33" s="19" t="n">
        <v>0</v>
      </c>
      <c r="CJ33" s="19" t="n">
        <v>0</v>
      </c>
      <c r="CK33" s="19" t="n">
        <v>0</v>
      </c>
      <c r="CL33" s="19" t="n">
        <v>0</v>
      </c>
      <c r="CM33" s="19" t="n">
        <v>0</v>
      </c>
      <c r="CN33" s="19" t="n">
        <v>0</v>
      </c>
      <c r="CO33" s="19" t="n">
        <v>0</v>
      </c>
      <c r="CP33" s="19" t="n">
        <v>0</v>
      </c>
      <c r="CQ33" s="19" t="n">
        <v>0</v>
      </c>
      <c r="CR33" s="19" t="n">
        <v>0</v>
      </c>
      <c r="CS33" s="19" t="n">
        <v>0</v>
      </c>
      <c r="CT33" s="19" t="n">
        <v>0</v>
      </c>
      <c r="CU33" s="19" t="n">
        <v>0</v>
      </c>
      <c r="CV33" s="19" t="n">
        <v>0</v>
      </c>
      <c r="CW33" s="19" t="n">
        <v>0</v>
      </c>
      <c r="CX33" s="19" t="n">
        <v>0</v>
      </c>
      <c r="CY33" s="19" t="n">
        <v>0</v>
      </c>
      <c r="CZ33" s="19" t="n">
        <v>0</v>
      </c>
      <c r="DA33" s="19" t="n">
        <v>0</v>
      </c>
      <c r="DB33" s="19" t="n">
        <v>0</v>
      </c>
      <c r="DC33" s="19" t="n">
        <v>0</v>
      </c>
      <c r="DD33" s="19" t="n">
        <v>0</v>
      </c>
      <c r="DE33" s="19" t="n">
        <v>0</v>
      </c>
      <c r="DF33" s="19" t="n">
        <v>0</v>
      </c>
      <c r="DG33" s="19" t="n">
        <v>0</v>
      </c>
      <c r="DH33" s="19" t="n">
        <v>0</v>
      </c>
      <c r="DI33" s="19" t="n">
        <v>0</v>
      </c>
      <c r="DJ33" s="19" t="n">
        <v>0</v>
      </c>
      <c r="DK33" s="19" t="n">
        <v>0</v>
      </c>
      <c r="DL33" s="19" t="n">
        <v>0</v>
      </c>
      <c r="DM33" s="19" t="n">
        <v>0</v>
      </c>
      <c r="DN33" s="19" t="n">
        <v>0</v>
      </c>
      <c r="DO33" s="19" t="n">
        <v>0</v>
      </c>
      <c r="DP33" s="19" t="n">
        <v>0</v>
      </c>
      <c r="DQ33" s="19" t="n">
        <v>0</v>
      </c>
      <c r="DR33" s="19" t="n">
        <v>0</v>
      </c>
      <c r="DS33" s="19" t="n">
        <v>0</v>
      </c>
      <c r="DT33" s="19" t="n">
        <v>0</v>
      </c>
      <c r="DU33" s="19" t="n">
        <v>0</v>
      </c>
      <c r="DV33" s="19" t="n">
        <v>0</v>
      </c>
      <c r="DW33" s="19" t="n">
        <v>0</v>
      </c>
      <c r="DX33" s="19" t="n">
        <v>0</v>
      </c>
      <c r="DY33" s="19" t="n">
        <v>0</v>
      </c>
      <c r="DZ33" s="19" t="n">
        <v>0</v>
      </c>
      <c r="EA33" s="19" t="n">
        <v>0</v>
      </c>
      <c r="EB33" s="19" t="n">
        <v>0</v>
      </c>
      <c r="EC33" s="19" t="n">
        <v>0</v>
      </c>
      <c r="ED33" s="19" t="n">
        <v>0</v>
      </c>
      <c r="EE33" s="19" t="n">
        <v>0</v>
      </c>
      <c r="EF33" s="19" t="n">
        <v>0</v>
      </c>
      <c r="EG33" s="19" t="n">
        <v>0</v>
      </c>
      <c r="EH33" s="19" t="n">
        <v>0</v>
      </c>
      <c r="EI33" s="19" t="n">
        <v>0</v>
      </c>
      <c r="EJ33" s="19" t="n">
        <v>26000000000000</v>
      </c>
      <c r="EK33" s="19" t="n">
        <v>26000000000000</v>
      </c>
      <c r="EL33" s="19" t="n">
        <v>0.2</v>
      </c>
      <c r="EM33" s="19" t="n">
        <v>4333333333.3333</v>
      </c>
      <c r="EN33" s="19" t="n">
        <v>0</v>
      </c>
    </row>
    <row r="34">
      <c r="A34" t="inlineStr">
        <is>
          <t>2025-12-31-S020101010200</t>
        </is>
      </c>
      <c r="B34" t="inlineStr">
        <is>
          <t>2025-12-31</t>
        </is>
      </c>
      <c r="C34" t="inlineStr">
        <is>
          <t>S020101010200</t>
        </is>
      </c>
      <c r="D34" s="17" t="inlineStr">
        <is>
          <t xml:space="preserve">　　　　1.1.2 对公定期存款</t>
        </is>
      </c>
      <c r="E34" s="18" t="n">
        <v>5</v>
      </c>
      <c r="F34" t="inlineStr">
        <is>
          <t>S02010101000000</t>
        </is>
      </c>
      <c r="G34" t="n">
        <v>1</v>
      </c>
      <c r="H34" t="inlineStr">
        <is>
          <t>LIAB</t>
        </is>
      </c>
      <c r="J34" t="n">
        <v>0</v>
      </c>
      <c r="K34" s="38" t="n">
        <v>21850053144362.62</v>
      </c>
      <c r="L34" s="39">
        <f>SUMPRODUCT($C75:$C134,$B$114:$B$173)+C135*$B$175+C136*$B$176+C137*$B$177+C138*$B$178</f>
        <v/>
      </c>
      <c r="M34" s="19" t="n">
        <v>1832600000000</v>
      </c>
      <c r="N34" s="19" t="n">
        <v>1832600000000</v>
      </c>
      <c r="O34" s="19" t="n">
        <v>1832600000000</v>
      </c>
      <c r="P34" s="19" t="n">
        <v>1832600000000</v>
      </c>
      <c r="Q34" s="19" t="n">
        <v>1832600000000</v>
      </c>
      <c r="R34" s="19" t="n">
        <v>1832600000000</v>
      </c>
      <c r="S34" s="19" t="n">
        <v>1832600000000</v>
      </c>
      <c r="T34" s="19" t="n">
        <v>1832600000000</v>
      </c>
      <c r="U34" s="19" t="n">
        <v>1832600000000</v>
      </c>
      <c r="V34" s="19" t="n">
        <v>1832600000000</v>
      </c>
      <c r="W34" s="19" t="n">
        <v>1832600000000</v>
      </c>
      <c r="X34" s="19" t="n">
        <v>0</v>
      </c>
      <c r="Y34" s="19" t="n">
        <v>0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  <c r="AH34" s="19" t="n">
        <v>0</v>
      </c>
      <c r="AI34" s="19" t="n">
        <v>0</v>
      </c>
      <c r="AJ34" s="19" t="n">
        <v>0</v>
      </c>
      <c r="AK34" s="19" t="n">
        <v>0</v>
      </c>
      <c r="AL34" s="19" t="n">
        <v>0</v>
      </c>
      <c r="AM34" s="19" t="n">
        <v>0</v>
      </c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19" t="n">
        <v>0</v>
      </c>
      <c r="AT34" s="19" t="n">
        <v>0</v>
      </c>
      <c r="AU34" s="19" t="n">
        <v>0</v>
      </c>
      <c r="AV34" s="19" t="n">
        <v>0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  <c r="BB34" s="19" t="n">
        <v>0</v>
      </c>
      <c r="BC34" s="19" t="n">
        <v>0</v>
      </c>
      <c r="BD34" s="19" t="n">
        <v>0</v>
      </c>
      <c r="BE34" s="19" t="n">
        <v>0</v>
      </c>
      <c r="BF34" s="19" t="n">
        <v>0</v>
      </c>
      <c r="BG34" s="19" t="n">
        <v>0</v>
      </c>
      <c r="BH34" s="19" t="n">
        <v>0</v>
      </c>
      <c r="BI34" s="19" t="n">
        <v>0</v>
      </c>
      <c r="BJ34" s="19" t="n">
        <v>0</v>
      </c>
      <c r="BK34" s="19" t="n">
        <v>0</v>
      </c>
      <c r="BL34" s="19" t="n">
        <v>0</v>
      </c>
      <c r="BM34" s="19" t="n">
        <v>0</v>
      </c>
      <c r="BN34" s="19" t="n">
        <v>0</v>
      </c>
      <c r="BO34" s="19" t="n">
        <v>0</v>
      </c>
      <c r="BP34" s="19" t="n">
        <v>0</v>
      </c>
      <c r="BQ34" s="19" t="n">
        <v>0</v>
      </c>
      <c r="BR34" s="19" t="n">
        <v>0</v>
      </c>
      <c r="BS34" s="19" t="n">
        <v>0</v>
      </c>
      <c r="BT34" s="19" t="n">
        <v>0</v>
      </c>
      <c r="BU34" s="19" t="n">
        <v>0</v>
      </c>
      <c r="BV34" s="19" t="n">
        <v>0</v>
      </c>
      <c r="BW34" s="19" t="n">
        <v>0</v>
      </c>
      <c r="BX34" s="19" t="n">
        <v>3883000000000</v>
      </c>
      <c r="BY34" s="19" t="n">
        <v>3883000000000</v>
      </c>
      <c r="BZ34" s="19" t="n">
        <v>2587200000000</v>
      </c>
      <c r="CA34" s="19" t="n">
        <v>1293600000000</v>
      </c>
      <c r="CB34" s="19" t="n">
        <v>1293600000000</v>
      </c>
      <c r="CC34" s="19" t="n">
        <v>1293600000000</v>
      </c>
      <c r="CD34" s="19" t="n">
        <v>1293600000000</v>
      </c>
      <c r="CE34" s="19" t="n">
        <v>1293600000000</v>
      </c>
      <c r="CF34" s="19" t="n">
        <v>1293600000000</v>
      </c>
      <c r="CG34" s="19" t="n">
        <v>1293600000000</v>
      </c>
      <c r="CH34" s="19" t="n">
        <v>1293600000000</v>
      </c>
      <c r="CI34" s="19" t="n">
        <v>1293600000000</v>
      </c>
      <c r="CJ34" s="19" t="n">
        <v>0</v>
      </c>
      <c r="CK34" s="19" t="n">
        <v>0</v>
      </c>
      <c r="CL34" s="19" t="n">
        <v>0</v>
      </c>
      <c r="CM34" s="19" t="n">
        <v>0</v>
      </c>
      <c r="CN34" s="19" t="n">
        <v>0</v>
      </c>
      <c r="CO34" s="19" t="n">
        <v>0</v>
      </c>
      <c r="CP34" s="19" t="n">
        <v>0</v>
      </c>
      <c r="CQ34" s="19" t="n">
        <v>0</v>
      </c>
      <c r="CR34" s="19" t="n">
        <v>0</v>
      </c>
      <c r="CS34" s="19" t="n">
        <v>0</v>
      </c>
      <c r="CT34" s="19" t="n">
        <v>0</v>
      </c>
      <c r="CU34" s="19" t="n">
        <v>0</v>
      </c>
      <c r="CV34" s="19" t="n">
        <v>0</v>
      </c>
      <c r="CW34" s="19" t="n">
        <v>0</v>
      </c>
      <c r="CX34" s="19" t="n">
        <v>0</v>
      </c>
      <c r="CY34" s="19" t="n">
        <v>0</v>
      </c>
      <c r="CZ34" s="19" t="n">
        <v>0</v>
      </c>
      <c r="DA34" s="19" t="n">
        <v>0</v>
      </c>
      <c r="DB34" s="19" t="n">
        <v>0</v>
      </c>
      <c r="DC34" s="19" t="n">
        <v>0</v>
      </c>
      <c r="DD34" s="19" t="n">
        <v>0</v>
      </c>
      <c r="DE34" s="19" t="n">
        <v>0</v>
      </c>
      <c r="DF34" s="19" t="n">
        <v>0</v>
      </c>
      <c r="DG34" s="19" t="n">
        <v>0</v>
      </c>
      <c r="DH34" s="19" t="n">
        <v>0</v>
      </c>
      <c r="DI34" s="19" t="n">
        <v>0</v>
      </c>
      <c r="DJ34" s="19" t="n">
        <v>0</v>
      </c>
      <c r="DK34" s="19" t="n">
        <v>0</v>
      </c>
      <c r="DL34" s="19" t="n">
        <v>0</v>
      </c>
      <c r="DM34" s="19" t="n">
        <v>0</v>
      </c>
      <c r="DN34" s="19" t="n">
        <v>0</v>
      </c>
      <c r="DO34" s="19" t="n">
        <v>0</v>
      </c>
      <c r="DP34" s="19" t="n">
        <v>0</v>
      </c>
      <c r="DQ34" s="19" t="n">
        <v>0</v>
      </c>
      <c r="DR34" s="19" t="n">
        <v>0</v>
      </c>
      <c r="DS34" s="19" t="n">
        <v>0</v>
      </c>
      <c r="DT34" s="19" t="n">
        <v>0</v>
      </c>
      <c r="DU34" s="19" t="n">
        <v>0</v>
      </c>
      <c r="DV34" s="19" t="n">
        <v>0</v>
      </c>
      <c r="DW34" s="19" t="n">
        <v>0</v>
      </c>
      <c r="DX34" s="19" t="n">
        <v>0</v>
      </c>
      <c r="DY34" s="19" t="n">
        <v>0</v>
      </c>
      <c r="DZ34" s="19" t="n">
        <v>0</v>
      </c>
      <c r="EA34" s="19" t="n">
        <v>0</v>
      </c>
      <c r="EB34" s="19" t="n">
        <v>0</v>
      </c>
      <c r="EC34" s="19" t="n">
        <v>0</v>
      </c>
      <c r="ED34" s="19" t="n">
        <v>0</v>
      </c>
      <c r="EE34" s="19" t="n">
        <v>0</v>
      </c>
      <c r="EF34" s="19" t="n">
        <v>0</v>
      </c>
      <c r="EG34" s="19" t="n">
        <v>0</v>
      </c>
      <c r="EH34" s="19" t="n">
        <v>0</v>
      </c>
      <c r="EI34" s="19" t="n">
        <v>0</v>
      </c>
      <c r="EJ34" s="19" t="n">
        <v>22000000000000</v>
      </c>
      <c r="EK34" s="19" t="n">
        <v>22000000000000</v>
      </c>
      <c r="EL34" s="19" t="n">
        <v>1.85</v>
      </c>
      <c r="EM34" s="19" t="n">
        <v>33916666666.6667</v>
      </c>
      <c r="EN34" s="19" t="n">
        <v>0</v>
      </c>
    </row>
    <row r="35">
      <c r="A35" t="inlineStr">
        <is>
          <t>2025-12-31-S02010102000000</t>
        </is>
      </c>
      <c r="B35" t="inlineStr">
        <is>
          <t>2025-12-31</t>
        </is>
      </c>
      <c r="C35" t="inlineStr">
        <is>
          <t>S02010102000000</t>
        </is>
      </c>
      <c r="D35" s="17" t="inlineStr">
        <is>
          <t xml:space="preserve">　　　1.2. 零售存款</t>
        </is>
      </c>
      <c r="E35" s="18" t="n">
        <v>4</v>
      </c>
      <c r="F35" t="inlineStr">
        <is>
          <t>S02010100000000</t>
        </is>
      </c>
      <c r="G35" t="n">
        <v>0</v>
      </c>
      <c r="H35" t="inlineStr">
        <is>
          <t>LIAB</t>
        </is>
      </c>
      <c r="J35" t="n">
        <v>0</v>
      </c>
      <c r="K35" s="38" t="n">
        <v>31781895482709.27</v>
      </c>
      <c r="L35" s="39">
        <f>SUMPRODUCT($C75:$C134,$B$114:$B$173)+C135*$B$175+C136*$B$176+C137*$B$177+C138*$B$178</f>
        <v/>
      </c>
      <c r="M35" s="19" t="n">
        <v>2665600000000</v>
      </c>
      <c r="N35" s="19" t="n">
        <v>2665600000000</v>
      </c>
      <c r="O35" s="19" t="n">
        <v>2665600000000</v>
      </c>
      <c r="P35" s="19" t="n">
        <v>2665600000000</v>
      </c>
      <c r="Q35" s="19" t="n">
        <v>2665600000000</v>
      </c>
      <c r="R35" s="19" t="n">
        <v>2665600000000</v>
      </c>
      <c r="S35" s="19" t="n">
        <v>2665600000000</v>
      </c>
      <c r="T35" s="19" t="n">
        <v>2665600000000</v>
      </c>
      <c r="U35" s="19" t="n">
        <v>2665600000000</v>
      </c>
      <c r="V35" s="19" t="n">
        <v>2665600000000</v>
      </c>
      <c r="W35" s="19" t="n">
        <v>2665600000000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 t="n">
        <v>0</v>
      </c>
      <c r="AH35" s="19" t="n">
        <v>0</v>
      </c>
      <c r="AI35" s="19" t="n">
        <v>0</v>
      </c>
      <c r="AJ35" s="19" t="n">
        <v>0</v>
      </c>
      <c r="AK35" s="19" t="n">
        <v>0</v>
      </c>
      <c r="AL35" s="19" t="n">
        <v>0</v>
      </c>
      <c r="AM35" s="19" t="n">
        <v>0</v>
      </c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0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0</v>
      </c>
      <c r="BL35" s="19" t="n">
        <v>0</v>
      </c>
      <c r="BM35" s="19" t="n">
        <v>0</v>
      </c>
      <c r="BN35" s="19" t="n">
        <v>0</v>
      </c>
      <c r="BO35" s="19" t="n">
        <v>0</v>
      </c>
      <c r="BP35" s="19" t="n">
        <v>0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5648000000000</v>
      </c>
      <c r="BY35" s="19" t="n">
        <v>5648000000000</v>
      </c>
      <c r="BZ35" s="19" t="n">
        <v>3763200000000</v>
      </c>
      <c r="CA35" s="19" t="n">
        <v>1881600000000</v>
      </c>
      <c r="CB35" s="19" t="n">
        <v>1881600000000</v>
      </c>
      <c r="CC35" s="19" t="n">
        <v>1881600000000</v>
      </c>
      <c r="CD35" s="19" t="n">
        <v>1881600000000</v>
      </c>
      <c r="CE35" s="19" t="n">
        <v>1881600000000</v>
      </c>
      <c r="CF35" s="19" t="n">
        <v>1881600000000</v>
      </c>
      <c r="CG35" s="19" t="n">
        <v>1881600000000</v>
      </c>
      <c r="CH35" s="19" t="n">
        <v>1881600000000</v>
      </c>
      <c r="CI35" s="19" t="n">
        <v>1881600000000</v>
      </c>
      <c r="CJ35" s="19" t="n">
        <v>0</v>
      </c>
      <c r="CK35" s="19" t="n">
        <v>0</v>
      </c>
      <c r="CL35" s="19" t="n">
        <v>0</v>
      </c>
      <c r="CM35" s="19" t="n">
        <v>0</v>
      </c>
      <c r="CN35" s="19" t="n">
        <v>0</v>
      </c>
      <c r="CO35" s="19" t="n">
        <v>0</v>
      </c>
      <c r="CP35" s="19" t="n">
        <v>0</v>
      </c>
      <c r="CQ35" s="19" t="n">
        <v>0</v>
      </c>
      <c r="CR35" s="19" t="n">
        <v>0</v>
      </c>
      <c r="CS35" s="19" t="n">
        <v>0</v>
      </c>
      <c r="CT35" s="19" t="n">
        <v>0</v>
      </c>
      <c r="CU35" s="19" t="n">
        <v>0</v>
      </c>
      <c r="CV35" s="19" t="n">
        <v>0</v>
      </c>
      <c r="CW35" s="19" t="n">
        <v>0</v>
      </c>
      <c r="CX35" s="19" t="n">
        <v>0</v>
      </c>
      <c r="CY35" s="19" t="n">
        <v>0</v>
      </c>
      <c r="CZ35" s="19" t="n">
        <v>0</v>
      </c>
      <c r="DA35" s="19" t="n">
        <v>0</v>
      </c>
      <c r="DB35" s="19" t="n">
        <v>0</v>
      </c>
      <c r="DC35" s="19" t="n">
        <v>0</v>
      </c>
      <c r="DD35" s="19" t="n">
        <v>0</v>
      </c>
      <c r="DE35" s="19" t="n">
        <v>0</v>
      </c>
      <c r="DF35" s="19" t="n">
        <v>0</v>
      </c>
      <c r="DG35" s="19" t="n">
        <v>0</v>
      </c>
      <c r="DH35" s="19" t="n">
        <v>0</v>
      </c>
      <c r="DI35" s="19" t="n">
        <v>0</v>
      </c>
      <c r="DJ35" s="19" t="n">
        <v>0</v>
      </c>
      <c r="DK35" s="19" t="n">
        <v>0</v>
      </c>
      <c r="DL35" s="19" t="n">
        <v>0</v>
      </c>
      <c r="DM35" s="19" t="n">
        <v>0</v>
      </c>
      <c r="DN35" s="19" t="n">
        <v>0</v>
      </c>
      <c r="DO35" s="19" t="n">
        <v>0</v>
      </c>
      <c r="DP35" s="19" t="n">
        <v>0</v>
      </c>
      <c r="DQ35" s="19" t="n">
        <v>0</v>
      </c>
      <c r="DR35" s="19" t="n">
        <v>0</v>
      </c>
      <c r="DS35" s="19" t="n">
        <v>0</v>
      </c>
      <c r="DT35" s="19" t="n">
        <v>0</v>
      </c>
      <c r="DU35" s="19" t="n">
        <v>0</v>
      </c>
      <c r="DV35" s="19" t="n">
        <v>0</v>
      </c>
      <c r="DW35" s="19" t="n">
        <v>0</v>
      </c>
      <c r="DX35" s="19" t="n">
        <v>0</v>
      </c>
      <c r="DY35" s="19" t="n">
        <v>0</v>
      </c>
      <c r="DZ35" s="19" t="n">
        <v>0</v>
      </c>
      <c r="EA35" s="19" t="n">
        <v>0</v>
      </c>
      <c r="EB35" s="19" t="n">
        <v>0</v>
      </c>
      <c r="EC35" s="19" t="n">
        <v>0</v>
      </c>
      <c r="ED35" s="19" t="n">
        <v>0</v>
      </c>
      <c r="EE35" s="19" t="n">
        <v>0</v>
      </c>
      <c r="EF35" s="19" t="n">
        <v>0</v>
      </c>
      <c r="EG35" s="19" t="n">
        <v>0</v>
      </c>
      <c r="EH35" s="19" t="n">
        <v>0</v>
      </c>
      <c r="EI35" s="19" t="n">
        <v>0</v>
      </c>
      <c r="EJ35" s="19" t="n">
        <v>32000000000000</v>
      </c>
      <c r="EK35" s="19" t="n">
        <v>32000000000000</v>
      </c>
      <c r="EL35" s="19" t="n">
        <v>1.5</v>
      </c>
      <c r="EM35" s="19" t="n">
        <v>40000000000</v>
      </c>
      <c r="EN35" s="19" t="n">
        <v>0</v>
      </c>
    </row>
    <row r="36">
      <c r="A36" t="inlineStr">
        <is>
          <t>2025-12-31-S020101020100</t>
        </is>
      </c>
      <c r="B36" t="inlineStr">
        <is>
          <t>2025-12-31</t>
        </is>
      </c>
      <c r="C36" t="inlineStr">
        <is>
          <t>S020101020100</t>
        </is>
      </c>
      <c r="D36" s="17" t="inlineStr">
        <is>
          <t xml:space="preserve">　　　　1.2.1 零售活期存款</t>
        </is>
      </c>
      <c r="E36" s="18" t="n">
        <v>5</v>
      </c>
      <c r="F36" t="inlineStr">
        <is>
          <t>S02010102000000</t>
        </is>
      </c>
      <c r="G36" t="n">
        <v>1</v>
      </c>
      <c r="H36" t="inlineStr">
        <is>
          <t>LIAB</t>
        </is>
      </c>
      <c r="J36" t="n">
        <v>0</v>
      </c>
      <c r="K36" s="38" t="n">
        <v>11965899622309.21</v>
      </c>
      <c r="L36" s="39">
        <f>SUMPRODUCT($C75:$C134,$B$114:$B$173)+C135*$B$175+C136*$B$176+C137*$B$177+C138*$B$178</f>
        <v/>
      </c>
      <c r="M36" s="19" t="n">
        <v>2000400000000</v>
      </c>
      <c r="N36" s="19" t="n">
        <v>2000400000000</v>
      </c>
      <c r="O36" s="19" t="n">
        <v>2000400000000</v>
      </c>
      <c r="P36" s="19" t="n">
        <v>2000400000000</v>
      </c>
      <c r="Q36" s="19" t="n">
        <v>2000400000000</v>
      </c>
      <c r="R36" s="19" t="n">
        <v>0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9" t="n">
        <v>0</v>
      </c>
      <c r="AA36" s="19" t="n">
        <v>0</v>
      </c>
      <c r="AB36" s="19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  <c r="AG36" s="19" t="n">
        <v>0</v>
      </c>
      <c r="AH36" s="19" t="n">
        <v>0</v>
      </c>
      <c r="AI36" s="19" t="n">
        <v>0</v>
      </c>
      <c r="AJ36" s="19" t="n">
        <v>0</v>
      </c>
      <c r="AK36" s="19" t="n">
        <v>0</v>
      </c>
      <c r="AL36" s="19" t="n">
        <v>0</v>
      </c>
      <c r="AM36" s="19" t="n">
        <v>0</v>
      </c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19" t="n">
        <v>0</v>
      </c>
      <c r="AT36" s="19" t="n">
        <v>0</v>
      </c>
      <c r="AU36" s="19" t="n">
        <v>0</v>
      </c>
      <c r="AV36" s="19" t="n">
        <v>0</v>
      </c>
      <c r="AW36" s="19" t="n">
        <v>0</v>
      </c>
      <c r="AX36" s="19" t="n">
        <v>0</v>
      </c>
      <c r="AY36" s="19" t="n">
        <v>0</v>
      </c>
      <c r="AZ36" s="19" t="n">
        <v>0</v>
      </c>
      <c r="BA36" s="19" t="n">
        <v>0</v>
      </c>
      <c r="BB36" s="19" t="n">
        <v>0</v>
      </c>
      <c r="BC36" s="19" t="n">
        <v>0</v>
      </c>
      <c r="BD36" s="19" t="n">
        <v>0</v>
      </c>
      <c r="BE36" s="19" t="n">
        <v>0</v>
      </c>
      <c r="BF36" s="19" t="n">
        <v>0</v>
      </c>
      <c r="BG36" s="19" t="n">
        <v>0</v>
      </c>
      <c r="BH36" s="19" t="n">
        <v>0</v>
      </c>
      <c r="BI36" s="19" t="n">
        <v>0</v>
      </c>
      <c r="BJ36" s="19" t="n">
        <v>0</v>
      </c>
      <c r="BK36" s="19" t="n">
        <v>0</v>
      </c>
      <c r="BL36" s="19" t="n">
        <v>0</v>
      </c>
      <c r="BM36" s="19" t="n">
        <v>0</v>
      </c>
      <c r="BN36" s="19" t="n">
        <v>0</v>
      </c>
      <c r="BO36" s="19" t="n">
        <v>0</v>
      </c>
      <c r="BP36" s="19" t="n">
        <v>0</v>
      </c>
      <c r="BQ36" s="19" t="n">
        <v>0</v>
      </c>
      <c r="BR36" s="19" t="n">
        <v>0</v>
      </c>
      <c r="BS36" s="19" t="n">
        <v>0</v>
      </c>
      <c r="BT36" s="19" t="n">
        <v>0</v>
      </c>
      <c r="BU36" s="19" t="n">
        <v>0</v>
      </c>
      <c r="BV36" s="19" t="n">
        <v>0</v>
      </c>
      <c r="BW36" s="19" t="n">
        <v>0</v>
      </c>
      <c r="BX36" s="19" t="n">
        <v>6000000000000</v>
      </c>
      <c r="BY36" s="19" t="n">
        <v>3600000000000</v>
      </c>
      <c r="BZ36" s="19" t="n">
        <v>2400000000000</v>
      </c>
      <c r="CA36" s="19" t="n">
        <v>0</v>
      </c>
      <c r="CB36" s="19" t="n">
        <v>0</v>
      </c>
      <c r="CC36" s="19" t="n">
        <v>0</v>
      </c>
      <c r="CD36" s="19" t="n">
        <v>0</v>
      </c>
      <c r="CE36" s="19" t="n">
        <v>0</v>
      </c>
      <c r="CF36" s="19" t="n">
        <v>0</v>
      </c>
      <c r="CG36" s="19" t="n">
        <v>0</v>
      </c>
      <c r="CH36" s="19" t="n">
        <v>0</v>
      </c>
      <c r="CI36" s="19" t="n">
        <v>0</v>
      </c>
      <c r="CJ36" s="19" t="n">
        <v>0</v>
      </c>
      <c r="CK36" s="19" t="n">
        <v>0</v>
      </c>
      <c r="CL36" s="19" t="n">
        <v>0</v>
      </c>
      <c r="CM36" s="19" t="n">
        <v>0</v>
      </c>
      <c r="CN36" s="19" t="n">
        <v>0</v>
      </c>
      <c r="CO36" s="19" t="n">
        <v>0</v>
      </c>
      <c r="CP36" s="19" t="n">
        <v>0</v>
      </c>
      <c r="CQ36" s="19" t="n">
        <v>0</v>
      </c>
      <c r="CR36" s="19" t="n">
        <v>0</v>
      </c>
      <c r="CS36" s="19" t="n">
        <v>0</v>
      </c>
      <c r="CT36" s="19" t="n">
        <v>0</v>
      </c>
      <c r="CU36" s="19" t="n">
        <v>0</v>
      </c>
      <c r="CV36" s="19" t="n">
        <v>0</v>
      </c>
      <c r="CW36" s="19" t="n">
        <v>0</v>
      </c>
      <c r="CX36" s="19" t="n">
        <v>0</v>
      </c>
      <c r="CY36" s="19" t="n">
        <v>0</v>
      </c>
      <c r="CZ36" s="19" t="n">
        <v>0</v>
      </c>
      <c r="DA36" s="19" t="n">
        <v>0</v>
      </c>
      <c r="DB36" s="19" t="n">
        <v>0</v>
      </c>
      <c r="DC36" s="19" t="n">
        <v>0</v>
      </c>
      <c r="DD36" s="19" t="n">
        <v>0</v>
      </c>
      <c r="DE36" s="19" t="n">
        <v>0</v>
      </c>
      <c r="DF36" s="19" t="n">
        <v>0</v>
      </c>
      <c r="DG36" s="19" t="n">
        <v>0</v>
      </c>
      <c r="DH36" s="19" t="n">
        <v>0</v>
      </c>
      <c r="DI36" s="19" t="n">
        <v>0</v>
      </c>
      <c r="DJ36" s="19" t="n">
        <v>0</v>
      </c>
      <c r="DK36" s="19" t="n">
        <v>0</v>
      </c>
      <c r="DL36" s="19" t="n">
        <v>0</v>
      </c>
      <c r="DM36" s="19" t="n">
        <v>0</v>
      </c>
      <c r="DN36" s="19" t="n">
        <v>0</v>
      </c>
      <c r="DO36" s="19" t="n">
        <v>0</v>
      </c>
      <c r="DP36" s="19" t="n">
        <v>0</v>
      </c>
      <c r="DQ36" s="19" t="n">
        <v>0</v>
      </c>
      <c r="DR36" s="19" t="n">
        <v>0</v>
      </c>
      <c r="DS36" s="19" t="n">
        <v>0</v>
      </c>
      <c r="DT36" s="19" t="n">
        <v>0</v>
      </c>
      <c r="DU36" s="19" t="n">
        <v>0</v>
      </c>
      <c r="DV36" s="19" t="n">
        <v>0</v>
      </c>
      <c r="DW36" s="19" t="n">
        <v>0</v>
      </c>
      <c r="DX36" s="19" t="n">
        <v>0</v>
      </c>
      <c r="DY36" s="19" t="n">
        <v>0</v>
      </c>
      <c r="DZ36" s="19" t="n">
        <v>0</v>
      </c>
      <c r="EA36" s="19" t="n">
        <v>0</v>
      </c>
      <c r="EB36" s="19" t="n">
        <v>0</v>
      </c>
      <c r="EC36" s="19" t="n">
        <v>0</v>
      </c>
      <c r="ED36" s="19" t="n">
        <v>0</v>
      </c>
      <c r="EE36" s="19" t="n">
        <v>0</v>
      </c>
      <c r="EF36" s="19" t="n">
        <v>0</v>
      </c>
      <c r="EG36" s="19" t="n">
        <v>0</v>
      </c>
      <c r="EH36" s="19" t="n">
        <v>0</v>
      </c>
      <c r="EI36" s="19" t="n">
        <v>0</v>
      </c>
      <c r="EJ36" s="19" t="n">
        <v>12000000000000</v>
      </c>
      <c r="EK36" s="19" t="n">
        <v>12000000000000</v>
      </c>
      <c r="EL36" s="19" t="n">
        <v>0.2</v>
      </c>
      <c r="EM36" s="19" t="n">
        <v>2000000000</v>
      </c>
      <c r="EN36" s="19" t="n">
        <v>0</v>
      </c>
    </row>
    <row r="37">
      <c r="A37" t="inlineStr">
        <is>
          <t>2025-12-31-S020101020200</t>
        </is>
      </c>
      <c r="B37" t="inlineStr">
        <is>
          <t>2025-12-31</t>
        </is>
      </c>
      <c r="C37" t="inlineStr">
        <is>
          <t>S020101020200</t>
        </is>
      </c>
      <c r="D37" s="17" t="inlineStr">
        <is>
          <t xml:space="preserve">　　　　1.2.2 零售定期存款</t>
        </is>
      </c>
      <c r="E37" s="18" t="n">
        <v>5</v>
      </c>
      <c r="F37" t="inlineStr">
        <is>
          <t>S02010102000000</t>
        </is>
      </c>
      <c r="G37" t="n">
        <v>1</v>
      </c>
      <c r="H37" t="inlineStr">
        <is>
          <t>LIAB</t>
        </is>
      </c>
      <c r="J37" t="n">
        <v>0</v>
      </c>
      <c r="K37" s="38" t="n">
        <v>19863684676693.3</v>
      </c>
      <c r="L37" s="39">
        <f>SUMPRODUCT($C75:$C134,$B$114:$B$173)+C135*$B$175+C136*$B$176+C137*$B$177+C138*$B$178</f>
        <v/>
      </c>
      <c r="M37" s="19" t="n">
        <v>1666000000000</v>
      </c>
      <c r="N37" s="19" t="n">
        <v>1666000000000</v>
      </c>
      <c r="O37" s="19" t="n">
        <v>1666000000000</v>
      </c>
      <c r="P37" s="19" t="n">
        <v>1666000000000</v>
      </c>
      <c r="Q37" s="19" t="n">
        <v>1666000000000</v>
      </c>
      <c r="R37" s="19" t="n">
        <v>1666000000000</v>
      </c>
      <c r="S37" s="19" t="n">
        <v>1666000000000</v>
      </c>
      <c r="T37" s="19" t="n">
        <v>1666000000000</v>
      </c>
      <c r="U37" s="19" t="n">
        <v>1666000000000</v>
      </c>
      <c r="V37" s="19" t="n">
        <v>1666000000000</v>
      </c>
      <c r="W37" s="19" t="n">
        <v>1666000000000</v>
      </c>
      <c r="X37" s="19" t="n">
        <v>0</v>
      </c>
      <c r="Y37" s="19" t="n">
        <v>0</v>
      </c>
      <c r="Z37" s="19" t="n">
        <v>0</v>
      </c>
      <c r="AA37" s="19" t="n">
        <v>0</v>
      </c>
      <c r="AB37" s="19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  <c r="AG37" s="19" t="n">
        <v>0</v>
      </c>
      <c r="AH37" s="19" t="n">
        <v>0</v>
      </c>
      <c r="AI37" s="19" t="n">
        <v>0</v>
      </c>
      <c r="AJ37" s="19" t="n">
        <v>0</v>
      </c>
      <c r="AK37" s="19" t="n">
        <v>0</v>
      </c>
      <c r="AL37" s="19" t="n">
        <v>0</v>
      </c>
      <c r="AM37" s="19" t="n">
        <v>0</v>
      </c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0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0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0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3530000000000</v>
      </c>
      <c r="BY37" s="19" t="n">
        <v>3530000000000</v>
      </c>
      <c r="BZ37" s="19" t="n">
        <v>2352000000000</v>
      </c>
      <c r="CA37" s="19" t="n">
        <v>1176000000000</v>
      </c>
      <c r="CB37" s="19" t="n">
        <v>1176000000000</v>
      </c>
      <c r="CC37" s="19" t="n">
        <v>1176000000000</v>
      </c>
      <c r="CD37" s="19" t="n">
        <v>1176000000000</v>
      </c>
      <c r="CE37" s="19" t="n">
        <v>1176000000000</v>
      </c>
      <c r="CF37" s="19" t="n">
        <v>1176000000000</v>
      </c>
      <c r="CG37" s="19" t="n">
        <v>1176000000000</v>
      </c>
      <c r="CH37" s="19" t="n">
        <v>1176000000000</v>
      </c>
      <c r="CI37" s="19" t="n">
        <v>1176000000000</v>
      </c>
      <c r="CJ37" s="19" t="n">
        <v>0</v>
      </c>
      <c r="CK37" s="19" t="n">
        <v>0</v>
      </c>
      <c r="CL37" s="19" t="n">
        <v>0</v>
      </c>
      <c r="CM37" s="19" t="n">
        <v>0</v>
      </c>
      <c r="CN37" s="19" t="n">
        <v>0</v>
      </c>
      <c r="CO37" s="19" t="n">
        <v>0</v>
      </c>
      <c r="CP37" s="19" t="n">
        <v>0</v>
      </c>
      <c r="CQ37" s="19" t="n">
        <v>0</v>
      </c>
      <c r="CR37" s="19" t="n">
        <v>0</v>
      </c>
      <c r="CS37" s="19" t="n">
        <v>0</v>
      </c>
      <c r="CT37" s="19" t="n">
        <v>0</v>
      </c>
      <c r="CU37" s="19" t="n">
        <v>0</v>
      </c>
      <c r="CV37" s="19" t="n">
        <v>0</v>
      </c>
      <c r="CW37" s="19" t="n">
        <v>0</v>
      </c>
      <c r="CX37" s="19" t="n">
        <v>0</v>
      </c>
      <c r="CY37" s="19" t="n">
        <v>0</v>
      </c>
      <c r="CZ37" s="19" t="n">
        <v>0</v>
      </c>
      <c r="DA37" s="19" t="n">
        <v>0</v>
      </c>
      <c r="DB37" s="19" t="n">
        <v>0</v>
      </c>
      <c r="DC37" s="19" t="n">
        <v>0</v>
      </c>
      <c r="DD37" s="19" t="n">
        <v>0</v>
      </c>
      <c r="DE37" s="19" t="n">
        <v>0</v>
      </c>
      <c r="DF37" s="19" t="n">
        <v>0</v>
      </c>
      <c r="DG37" s="19" t="n">
        <v>0</v>
      </c>
      <c r="DH37" s="19" t="n">
        <v>0</v>
      </c>
      <c r="DI37" s="19" t="n">
        <v>0</v>
      </c>
      <c r="DJ37" s="19" t="n">
        <v>0</v>
      </c>
      <c r="DK37" s="19" t="n">
        <v>0</v>
      </c>
      <c r="DL37" s="19" t="n">
        <v>0</v>
      </c>
      <c r="DM37" s="19" t="n">
        <v>0</v>
      </c>
      <c r="DN37" s="19" t="n">
        <v>0</v>
      </c>
      <c r="DO37" s="19" t="n">
        <v>0</v>
      </c>
      <c r="DP37" s="19" t="n">
        <v>0</v>
      </c>
      <c r="DQ37" s="19" t="n">
        <v>0</v>
      </c>
      <c r="DR37" s="19" t="n">
        <v>0</v>
      </c>
      <c r="DS37" s="19" t="n">
        <v>0</v>
      </c>
      <c r="DT37" s="19" t="n">
        <v>0</v>
      </c>
      <c r="DU37" s="19" t="n">
        <v>0</v>
      </c>
      <c r="DV37" s="19" t="n">
        <v>0</v>
      </c>
      <c r="DW37" s="19" t="n">
        <v>0</v>
      </c>
      <c r="DX37" s="19" t="n">
        <v>0</v>
      </c>
      <c r="DY37" s="19" t="n">
        <v>0</v>
      </c>
      <c r="DZ37" s="19" t="n">
        <v>0</v>
      </c>
      <c r="EA37" s="19" t="n">
        <v>0</v>
      </c>
      <c r="EB37" s="19" t="n">
        <v>0</v>
      </c>
      <c r="EC37" s="19" t="n">
        <v>0</v>
      </c>
      <c r="ED37" s="19" t="n">
        <v>0</v>
      </c>
      <c r="EE37" s="19" t="n">
        <v>0</v>
      </c>
      <c r="EF37" s="19" t="n">
        <v>0</v>
      </c>
      <c r="EG37" s="19" t="n">
        <v>0</v>
      </c>
      <c r="EH37" s="19" t="n">
        <v>0</v>
      </c>
      <c r="EI37" s="19" t="n">
        <v>0</v>
      </c>
      <c r="EJ37" s="19" t="n">
        <v>20000000000000</v>
      </c>
      <c r="EK37" s="19" t="n">
        <v>20000000000000</v>
      </c>
      <c r="EL37" s="19" t="n">
        <v>1.95</v>
      </c>
      <c r="EM37" s="19" t="n">
        <v>32500000000</v>
      </c>
      <c r="EN37" s="19" t="n">
        <v>0</v>
      </c>
    </row>
    <row r="38">
      <c r="A38" t="inlineStr">
        <is>
          <t>2025-12-31-S02010200000000</t>
        </is>
      </c>
      <c r="B38" t="inlineStr">
        <is>
          <t>2025-12-31</t>
        </is>
      </c>
      <c r="C38" t="inlineStr">
        <is>
          <t>S02010200000000</t>
        </is>
      </c>
      <c r="D38" s="17" t="inlineStr">
        <is>
          <t xml:space="preserve">　　2. 人民币市场化负债</t>
        </is>
      </c>
      <c r="E38" s="18" t="n">
        <v>3</v>
      </c>
      <c r="F38" t="inlineStr">
        <is>
          <t>S02010000000000</t>
        </is>
      </c>
      <c r="G38" t="n">
        <v>1</v>
      </c>
      <c r="H38" t="inlineStr">
        <is>
          <t>LIAB</t>
        </is>
      </c>
      <c r="J38" t="n">
        <v>0</v>
      </c>
      <c r="K38" s="38" t="n">
        <v>11918210806015.98</v>
      </c>
      <c r="L38" s="39">
        <f>SUMPRODUCT($C75:$C134,$B$114:$B$173)+C135*$B$175+C136*$B$176+C137*$B$177+C138*$B$178</f>
        <v/>
      </c>
      <c r="M38" s="19" t="n">
        <v>999600000000</v>
      </c>
      <c r="N38" s="19" t="n">
        <v>999600000000</v>
      </c>
      <c r="O38" s="19" t="n">
        <v>999600000000</v>
      </c>
      <c r="P38" s="19" t="n">
        <v>999600000000</v>
      </c>
      <c r="Q38" s="19" t="n">
        <v>999600000000</v>
      </c>
      <c r="R38" s="19" t="n">
        <v>999600000000</v>
      </c>
      <c r="S38" s="19" t="n">
        <v>999600000000</v>
      </c>
      <c r="T38" s="19" t="n">
        <v>999600000000</v>
      </c>
      <c r="U38" s="19" t="n">
        <v>999600000000</v>
      </c>
      <c r="V38" s="19" t="n">
        <v>999600000000</v>
      </c>
      <c r="W38" s="19" t="n">
        <v>999600000000</v>
      </c>
      <c r="X38" s="19" t="n">
        <v>0</v>
      </c>
      <c r="Y38" s="19" t="n">
        <v>0</v>
      </c>
      <c r="Z38" s="19" t="n">
        <v>0</v>
      </c>
      <c r="AA38" s="19" t="n">
        <v>0</v>
      </c>
      <c r="AB38" s="19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  <c r="AG38" s="19" t="n">
        <v>0</v>
      </c>
      <c r="AH38" s="19" t="n">
        <v>0</v>
      </c>
      <c r="AI38" s="19" t="n">
        <v>0</v>
      </c>
      <c r="AJ38" s="19" t="n">
        <v>0</v>
      </c>
      <c r="AK38" s="19" t="n">
        <v>0</v>
      </c>
      <c r="AL38" s="19" t="n">
        <v>0</v>
      </c>
      <c r="AM38" s="19" t="n">
        <v>0</v>
      </c>
      <c r="AN38" s="19" t="n">
        <v>0</v>
      </c>
      <c r="AO38" s="19" t="n">
        <v>0</v>
      </c>
      <c r="AP38" s="19" t="n">
        <v>0</v>
      </c>
      <c r="AQ38" s="19" t="n">
        <v>0</v>
      </c>
      <c r="AR38" s="19" t="n">
        <v>0</v>
      </c>
      <c r="AS38" s="19" t="n">
        <v>0</v>
      </c>
      <c r="AT38" s="19" t="n">
        <v>0</v>
      </c>
      <c r="AU38" s="19" t="n">
        <v>0</v>
      </c>
      <c r="AV38" s="19" t="n">
        <v>0</v>
      </c>
      <c r="AW38" s="19" t="n">
        <v>0</v>
      </c>
      <c r="AX38" s="19" t="n">
        <v>0</v>
      </c>
      <c r="AY38" s="19" t="n">
        <v>0</v>
      </c>
      <c r="AZ38" s="19" t="n">
        <v>0</v>
      </c>
      <c r="BA38" s="19" t="n">
        <v>0</v>
      </c>
      <c r="BB38" s="19" t="n">
        <v>0</v>
      </c>
      <c r="BC38" s="19" t="n">
        <v>0</v>
      </c>
      <c r="BD38" s="19" t="n">
        <v>0</v>
      </c>
      <c r="BE38" s="19" t="n">
        <v>0</v>
      </c>
      <c r="BF38" s="19" t="n">
        <v>0</v>
      </c>
      <c r="BG38" s="19" t="n">
        <v>0</v>
      </c>
      <c r="BH38" s="19" t="n">
        <v>0</v>
      </c>
      <c r="BI38" s="19" t="n">
        <v>0</v>
      </c>
      <c r="BJ38" s="19" t="n">
        <v>0</v>
      </c>
      <c r="BK38" s="19" t="n">
        <v>0</v>
      </c>
      <c r="BL38" s="19" t="n">
        <v>0</v>
      </c>
      <c r="BM38" s="19" t="n">
        <v>0</v>
      </c>
      <c r="BN38" s="19" t="n">
        <v>0</v>
      </c>
      <c r="BO38" s="19" t="n">
        <v>0</v>
      </c>
      <c r="BP38" s="19" t="n">
        <v>0</v>
      </c>
      <c r="BQ38" s="19" t="n">
        <v>0</v>
      </c>
      <c r="BR38" s="19" t="n">
        <v>0</v>
      </c>
      <c r="BS38" s="19" t="n">
        <v>0</v>
      </c>
      <c r="BT38" s="19" t="n">
        <v>0</v>
      </c>
      <c r="BU38" s="19" t="n">
        <v>0</v>
      </c>
      <c r="BV38" s="19" t="n">
        <v>0</v>
      </c>
      <c r="BW38" s="19" t="n">
        <v>0</v>
      </c>
      <c r="BX38" s="19" t="n">
        <v>2118000000000</v>
      </c>
      <c r="BY38" s="19" t="n">
        <v>2118000000000</v>
      </c>
      <c r="BZ38" s="19" t="n">
        <v>1411200000000</v>
      </c>
      <c r="CA38" s="19" t="n">
        <v>705600000000</v>
      </c>
      <c r="CB38" s="19" t="n">
        <v>705600000000</v>
      </c>
      <c r="CC38" s="19" t="n">
        <v>705600000000</v>
      </c>
      <c r="CD38" s="19" t="n">
        <v>705600000000</v>
      </c>
      <c r="CE38" s="19" t="n">
        <v>705600000000</v>
      </c>
      <c r="CF38" s="19" t="n">
        <v>705600000000</v>
      </c>
      <c r="CG38" s="19" t="n">
        <v>705600000000</v>
      </c>
      <c r="CH38" s="19" t="n">
        <v>705600000000</v>
      </c>
      <c r="CI38" s="19" t="n">
        <v>705600000000</v>
      </c>
      <c r="CJ38" s="19" t="n">
        <v>0</v>
      </c>
      <c r="CK38" s="19" t="n">
        <v>0</v>
      </c>
      <c r="CL38" s="19" t="n">
        <v>0</v>
      </c>
      <c r="CM38" s="19" t="n">
        <v>0</v>
      </c>
      <c r="CN38" s="19" t="n">
        <v>0</v>
      </c>
      <c r="CO38" s="19" t="n">
        <v>0</v>
      </c>
      <c r="CP38" s="19" t="n">
        <v>0</v>
      </c>
      <c r="CQ38" s="19" t="n">
        <v>0</v>
      </c>
      <c r="CR38" s="19" t="n">
        <v>0</v>
      </c>
      <c r="CS38" s="19" t="n">
        <v>0</v>
      </c>
      <c r="CT38" s="19" t="n">
        <v>0</v>
      </c>
      <c r="CU38" s="19" t="n">
        <v>0</v>
      </c>
      <c r="CV38" s="19" t="n">
        <v>0</v>
      </c>
      <c r="CW38" s="19" t="n">
        <v>0</v>
      </c>
      <c r="CX38" s="19" t="n">
        <v>0</v>
      </c>
      <c r="CY38" s="19" t="n">
        <v>0</v>
      </c>
      <c r="CZ38" s="19" t="n">
        <v>0</v>
      </c>
      <c r="DA38" s="19" t="n">
        <v>0</v>
      </c>
      <c r="DB38" s="19" t="n">
        <v>0</v>
      </c>
      <c r="DC38" s="19" t="n">
        <v>0</v>
      </c>
      <c r="DD38" s="19" t="n">
        <v>0</v>
      </c>
      <c r="DE38" s="19" t="n">
        <v>0</v>
      </c>
      <c r="DF38" s="19" t="n">
        <v>0</v>
      </c>
      <c r="DG38" s="19" t="n">
        <v>0</v>
      </c>
      <c r="DH38" s="19" t="n">
        <v>0</v>
      </c>
      <c r="DI38" s="19" t="n">
        <v>0</v>
      </c>
      <c r="DJ38" s="19" t="n">
        <v>0</v>
      </c>
      <c r="DK38" s="19" t="n">
        <v>0</v>
      </c>
      <c r="DL38" s="19" t="n">
        <v>0</v>
      </c>
      <c r="DM38" s="19" t="n">
        <v>0</v>
      </c>
      <c r="DN38" s="19" t="n">
        <v>0</v>
      </c>
      <c r="DO38" s="19" t="n">
        <v>0</v>
      </c>
      <c r="DP38" s="19" t="n">
        <v>0</v>
      </c>
      <c r="DQ38" s="19" t="n">
        <v>0</v>
      </c>
      <c r="DR38" s="19" t="n">
        <v>0</v>
      </c>
      <c r="DS38" s="19" t="n">
        <v>0</v>
      </c>
      <c r="DT38" s="19" t="n">
        <v>0</v>
      </c>
      <c r="DU38" s="19" t="n">
        <v>0</v>
      </c>
      <c r="DV38" s="19" t="n">
        <v>0</v>
      </c>
      <c r="DW38" s="19" t="n">
        <v>0</v>
      </c>
      <c r="DX38" s="19" t="n">
        <v>0</v>
      </c>
      <c r="DY38" s="19" t="n">
        <v>0</v>
      </c>
      <c r="DZ38" s="19" t="n">
        <v>0</v>
      </c>
      <c r="EA38" s="19" t="n">
        <v>0</v>
      </c>
      <c r="EB38" s="19" t="n">
        <v>0</v>
      </c>
      <c r="EC38" s="19" t="n">
        <v>0</v>
      </c>
      <c r="ED38" s="19" t="n">
        <v>0</v>
      </c>
      <c r="EE38" s="19" t="n">
        <v>0</v>
      </c>
      <c r="EF38" s="19" t="n">
        <v>0</v>
      </c>
      <c r="EG38" s="19" t="n">
        <v>0</v>
      </c>
      <c r="EH38" s="19" t="n">
        <v>0</v>
      </c>
      <c r="EI38" s="19" t="n">
        <v>0</v>
      </c>
      <c r="EJ38" s="19" t="n">
        <v>12000000000000</v>
      </c>
      <c r="EK38" s="19" t="n">
        <v>12000000000000</v>
      </c>
      <c r="EL38" s="19" t="n">
        <v>2.5</v>
      </c>
      <c r="EM38" s="19" t="n">
        <v>25000000000</v>
      </c>
      <c r="EN38" s="19" t="n">
        <v>0</v>
      </c>
    </row>
    <row r="39">
      <c r="A39" s="13" t="inlineStr">
        <is>
          <t>2025-12-31-S02020000000000</t>
        </is>
      </c>
      <c r="B39" s="13" t="inlineStr">
        <is>
          <t>2025-12-31</t>
        </is>
      </c>
      <c r="C39" s="13" t="inlineStr">
        <is>
          <t>S02020000000000</t>
        </is>
      </c>
      <c r="D39" s="14" t="inlineStr">
        <is>
          <t xml:space="preserve">　（二）外币小计（美元）</t>
        </is>
      </c>
      <c r="E39" s="15" t="n">
        <v>2</v>
      </c>
      <c r="F39" s="13" t="inlineStr">
        <is>
          <t>S02000000000000</t>
        </is>
      </c>
      <c r="G39" s="13" t="n">
        <v>0</v>
      </c>
      <c r="H39" s="13" t="inlineStr">
        <is>
          <t>LIAB</t>
        </is>
      </c>
      <c r="I39" s="13" t="inlineStr"/>
      <c r="J39" s="13" t="n">
        <v>0</v>
      </c>
      <c r="K39" s="36" t="n">
        <v>5959105403007.988</v>
      </c>
      <c r="L39" s="37">
        <f>SUMPRODUCT($C75:$C134,$B$114:$B$173)+C135*$B$175+C136*$B$176+C137*$B$177+C138*$B$178</f>
        <v/>
      </c>
      <c r="M39" s="16" t="n">
        <v>499800000000</v>
      </c>
      <c r="N39" s="16" t="n">
        <v>499800000000</v>
      </c>
      <c r="O39" s="16" t="n">
        <v>499800000000</v>
      </c>
      <c r="P39" s="16" t="n">
        <v>499800000000</v>
      </c>
      <c r="Q39" s="16" t="n">
        <v>499800000000</v>
      </c>
      <c r="R39" s="16" t="n">
        <v>499800000000</v>
      </c>
      <c r="S39" s="16" t="n">
        <v>499800000000</v>
      </c>
      <c r="T39" s="16" t="n">
        <v>499800000000</v>
      </c>
      <c r="U39" s="16" t="n">
        <v>499800000000</v>
      </c>
      <c r="V39" s="16" t="n">
        <v>499800000000</v>
      </c>
      <c r="W39" s="16" t="n">
        <v>499800000000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1059000000000</v>
      </c>
      <c r="BY39" s="16" t="n">
        <v>1059000000000</v>
      </c>
      <c r="BZ39" s="16" t="n">
        <v>705600000000</v>
      </c>
      <c r="CA39" s="16" t="n">
        <v>352800000000</v>
      </c>
      <c r="CB39" s="16" t="n">
        <v>352800000000</v>
      </c>
      <c r="CC39" s="16" t="n">
        <v>352800000000</v>
      </c>
      <c r="CD39" s="16" t="n">
        <v>352800000000</v>
      </c>
      <c r="CE39" s="16" t="n">
        <v>352800000000</v>
      </c>
      <c r="CF39" s="16" t="n">
        <v>352800000000</v>
      </c>
      <c r="CG39" s="16" t="n">
        <v>352800000000</v>
      </c>
      <c r="CH39" s="16" t="n">
        <v>352800000000</v>
      </c>
      <c r="CI39" s="16" t="n">
        <v>352800000000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0</v>
      </c>
      <c r="CR39" s="16" t="n">
        <v>0</v>
      </c>
      <c r="CS39" s="16" t="n">
        <v>0</v>
      </c>
      <c r="CT39" s="16" t="n">
        <v>0</v>
      </c>
      <c r="CU39" s="16" t="n">
        <v>0</v>
      </c>
      <c r="CV39" s="16" t="n">
        <v>0</v>
      </c>
      <c r="CW39" s="16" t="n">
        <v>0</v>
      </c>
      <c r="CX39" s="16" t="n">
        <v>0</v>
      </c>
      <c r="CY39" s="16" t="n">
        <v>0</v>
      </c>
      <c r="CZ39" s="16" t="n">
        <v>0</v>
      </c>
      <c r="DA39" s="16" t="n">
        <v>0</v>
      </c>
      <c r="DB39" s="16" t="n">
        <v>0</v>
      </c>
      <c r="DC39" s="16" t="n">
        <v>0</v>
      </c>
      <c r="DD39" s="16" t="n">
        <v>0</v>
      </c>
      <c r="DE39" s="16" t="n">
        <v>0</v>
      </c>
      <c r="DF39" s="16" t="n">
        <v>0</v>
      </c>
      <c r="DG39" s="16" t="n">
        <v>0</v>
      </c>
      <c r="DH39" s="16" t="n">
        <v>0</v>
      </c>
      <c r="DI39" s="16" t="n">
        <v>0</v>
      </c>
      <c r="DJ39" s="16" t="n">
        <v>0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  <c r="DQ39" s="16" t="n">
        <v>0</v>
      </c>
      <c r="DR39" s="16" t="n">
        <v>0</v>
      </c>
      <c r="DS39" s="16" t="n">
        <v>0</v>
      </c>
      <c r="DT39" s="16" t="n">
        <v>0</v>
      </c>
      <c r="DU39" s="16" t="n">
        <v>0</v>
      </c>
      <c r="DV39" s="16" t="n">
        <v>0</v>
      </c>
      <c r="DW39" s="16" t="n">
        <v>0</v>
      </c>
      <c r="DX39" s="16" t="n">
        <v>0</v>
      </c>
      <c r="DY39" s="16" t="n">
        <v>0</v>
      </c>
      <c r="DZ39" s="16" t="n">
        <v>0</v>
      </c>
      <c r="EA39" s="16" t="n">
        <v>0</v>
      </c>
      <c r="EB39" s="16" t="n">
        <v>0</v>
      </c>
      <c r="EC39" s="16" t="n">
        <v>0</v>
      </c>
      <c r="ED39" s="16" t="n">
        <v>0</v>
      </c>
      <c r="EE39" s="16" t="n">
        <v>0</v>
      </c>
      <c r="EF39" s="16" t="n">
        <v>0</v>
      </c>
      <c r="EG39" s="16" t="n">
        <v>0</v>
      </c>
      <c r="EH39" s="16" t="n">
        <v>0</v>
      </c>
      <c r="EI39" s="16" t="n">
        <v>0</v>
      </c>
      <c r="EJ39" s="16" t="n">
        <v>6000000000000</v>
      </c>
      <c r="EK39" s="16" t="n">
        <v>6000000000000</v>
      </c>
      <c r="EL39" s="16" t="n">
        <v>2.4</v>
      </c>
      <c r="EM39" s="16" t="n">
        <v>12000000000</v>
      </c>
      <c r="EN39" s="16" t="n">
        <v>0</v>
      </c>
    </row>
    <row r="40">
      <c r="A40" t="inlineStr">
        <is>
          <t>2025-12-31-S02020100000000</t>
        </is>
      </c>
      <c r="B40" t="inlineStr">
        <is>
          <t>2025-12-31</t>
        </is>
      </c>
      <c r="C40" t="inlineStr">
        <is>
          <t>S02020100000000</t>
        </is>
      </c>
      <c r="D40" s="17" t="inlineStr">
        <is>
          <t xml:space="preserve">　　1. 外币存款</t>
        </is>
      </c>
      <c r="E40" s="18" t="n">
        <v>3</v>
      </c>
      <c r="F40" t="inlineStr">
        <is>
          <t>S02020000000000</t>
        </is>
      </c>
      <c r="G40" t="n">
        <v>1</v>
      </c>
      <c r="H40" t="inlineStr">
        <is>
          <t>LIAB</t>
        </is>
      </c>
      <c r="J40" t="n">
        <v>0</v>
      </c>
      <c r="K40" s="38" t="n">
        <v>3972736935338.659</v>
      </c>
      <c r="L40" s="39">
        <f>SUMPRODUCT($C75:$C134,$B$114:$B$173)+C135*$B$175+C136*$B$176+C137*$B$177+C138*$B$178</f>
        <v/>
      </c>
      <c r="M40" s="19" t="n">
        <v>333200000000</v>
      </c>
      <c r="N40" s="19" t="n">
        <v>333200000000</v>
      </c>
      <c r="O40" s="19" t="n">
        <v>333200000000</v>
      </c>
      <c r="P40" s="19" t="n">
        <v>333200000000</v>
      </c>
      <c r="Q40" s="19" t="n">
        <v>333200000000</v>
      </c>
      <c r="R40" s="19" t="n">
        <v>333200000000</v>
      </c>
      <c r="S40" s="19" t="n">
        <v>333200000000</v>
      </c>
      <c r="T40" s="19" t="n">
        <v>333200000000</v>
      </c>
      <c r="U40" s="19" t="n">
        <v>333200000000</v>
      </c>
      <c r="V40" s="19" t="n">
        <v>333200000000</v>
      </c>
      <c r="W40" s="19" t="n">
        <v>333200000000</v>
      </c>
      <c r="X40" s="19" t="n">
        <v>0</v>
      </c>
      <c r="Y40" s="19" t="n">
        <v>0</v>
      </c>
      <c r="Z40" s="19" t="n">
        <v>0</v>
      </c>
      <c r="AA40" s="19" t="n">
        <v>0</v>
      </c>
      <c r="AB40" s="19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  <c r="AG40" s="19" t="n">
        <v>0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19" t="n">
        <v>0</v>
      </c>
      <c r="AT40" s="19" t="n">
        <v>0</v>
      </c>
      <c r="AU40" s="19" t="n">
        <v>0</v>
      </c>
      <c r="AV40" s="19" t="n">
        <v>0</v>
      </c>
      <c r="AW40" s="19" t="n">
        <v>0</v>
      </c>
      <c r="AX40" s="19" t="n">
        <v>0</v>
      </c>
      <c r="AY40" s="19" t="n">
        <v>0</v>
      </c>
      <c r="AZ40" s="19" t="n">
        <v>0</v>
      </c>
      <c r="BA40" s="19" t="n">
        <v>0</v>
      </c>
      <c r="BB40" s="19" t="n">
        <v>0</v>
      </c>
      <c r="BC40" s="19" t="n">
        <v>0</v>
      </c>
      <c r="BD40" s="19" t="n">
        <v>0</v>
      </c>
      <c r="BE40" s="19" t="n">
        <v>0</v>
      </c>
      <c r="BF40" s="19" t="n">
        <v>0</v>
      </c>
      <c r="BG40" s="19" t="n">
        <v>0</v>
      </c>
      <c r="BH40" s="19" t="n">
        <v>0</v>
      </c>
      <c r="BI40" s="19" t="n">
        <v>0</v>
      </c>
      <c r="BJ40" s="19" t="n">
        <v>0</v>
      </c>
      <c r="BK40" s="19" t="n">
        <v>0</v>
      </c>
      <c r="BL40" s="19" t="n">
        <v>0</v>
      </c>
      <c r="BM40" s="19" t="n">
        <v>0</v>
      </c>
      <c r="BN40" s="19" t="n">
        <v>0</v>
      </c>
      <c r="BO40" s="19" t="n">
        <v>0</v>
      </c>
      <c r="BP40" s="19" t="n">
        <v>0</v>
      </c>
      <c r="BQ40" s="19" t="n">
        <v>0</v>
      </c>
      <c r="BR40" s="19" t="n">
        <v>0</v>
      </c>
      <c r="BS40" s="19" t="n">
        <v>0</v>
      </c>
      <c r="BT40" s="19" t="n">
        <v>0</v>
      </c>
      <c r="BU40" s="19" t="n">
        <v>0</v>
      </c>
      <c r="BV40" s="19" t="n">
        <v>0</v>
      </c>
      <c r="BW40" s="19" t="n">
        <v>0</v>
      </c>
      <c r="BX40" s="19" t="n">
        <v>706000000000</v>
      </c>
      <c r="BY40" s="19" t="n">
        <v>706000000000</v>
      </c>
      <c r="BZ40" s="19" t="n">
        <v>470400000000</v>
      </c>
      <c r="CA40" s="19" t="n">
        <v>235200000000</v>
      </c>
      <c r="CB40" s="19" t="n">
        <v>235200000000</v>
      </c>
      <c r="CC40" s="19" t="n">
        <v>235200000000</v>
      </c>
      <c r="CD40" s="19" t="n">
        <v>235200000000</v>
      </c>
      <c r="CE40" s="19" t="n">
        <v>235200000000</v>
      </c>
      <c r="CF40" s="19" t="n">
        <v>235200000000</v>
      </c>
      <c r="CG40" s="19" t="n">
        <v>235200000000</v>
      </c>
      <c r="CH40" s="19" t="n">
        <v>235200000000</v>
      </c>
      <c r="CI40" s="19" t="n">
        <v>235200000000</v>
      </c>
      <c r="CJ40" s="19" t="n">
        <v>0</v>
      </c>
      <c r="CK40" s="19" t="n">
        <v>0</v>
      </c>
      <c r="CL40" s="19" t="n">
        <v>0</v>
      </c>
      <c r="CM40" s="19" t="n">
        <v>0</v>
      </c>
      <c r="CN40" s="19" t="n">
        <v>0</v>
      </c>
      <c r="CO40" s="19" t="n">
        <v>0</v>
      </c>
      <c r="CP40" s="19" t="n">
        <v>0</v>
      </c>
      <c r="CQ40" s="19" t="n">
        <v>0</v>
      </c>
      <c r="CR40" s="19" t="n">
        <v>0</v>
      </c>
      <c r="CS40" s="19" t="n">
        <v>0</v>
      </c>
      <c r="CT40" s="19" t="n">
        <v>0</v>
      </c>
      <c r="CU40" s="19" t="n">
        <v>0</v>
      </c>
      <c r="CV40" s="19" t="n">
        <v>0</v>
      </c>
      <c r="CW40" s="19" t="n">
        <v>0</v>
      </c>
      <c r="CX40" s="19" t="n">
        <v>0</v>
      </c>
      <c r="CY40" s="19" t="n">
        <v>0</v>
      </c>
      <c r="CZ40" s="19" t="n">
        <v>0</v>
      </c>
      <c r="DA40" s="19" t="n">
        <v>0</v>
      </c>
      <c r="DB40" s="19" t="n">
        <v>0</v>
      </c>
      <c r="DC40" s="19" t="n">
        <v>0</v>
      </c>
      <c r="DD40" s="19" t="n">
        <v>0</v>
      </c>
      <c r="DE40" s="19" t="n">
        <v>0</v>
      </c>
      <c r="DF40" s="19" t="n">
        <v>0</v>
      </c>
      <c r="DG40" s="19" t="n">
        <v>0</v>
      </c>
      <c r="DH40" s="19" t="n">
        <v>0</v>
      </c>
      <c r="DI40" s="19" t="n">
        <v>0</v>
      </c>
      <c r="DJ40" s="19" t="n">
        <v>0</v>
      </c>
      <c r="DK40" s="19" t="n">
        <v>0</v>
      </c>
      <c r="DL40" s="19" t="n">
        <v>0</v>
      </c>
      <c r="DM40" s="19" t="n">
        <v>0</v>
      </c>
      <c r="DN40" s="19" t="n">
        <v>0</v>
      </c>
      <c r="DO40" s="19" t="n">
        <v>0</v>
      </c>
      <c r="DP40" s="19" t="n">
        <v>0</v>
      </c>
      <c r="DQ40" s="19" t="n">
        <v>0</v>
      </c>
      <c r="DR40" s="19" t="n">
        <v>0</v>
      </c>
      <c r="DS40" s="19" t="n">
        <v>0</v>
      </c>
      <c r="DT40" s="19" t="n">
        <v>0</v>
      </c>
      <c r="DU40" s="19" t="n">
        <v>0</v>
      </c>
      <c r="DV40" s="19" t="n">
        <v>0</v>
      </c>
      <c r="DW40" s="19" t="n">
        <v>0</v>
      </c>
      <c r="DX40" s="19" t="n">
        <v>0</v>
      </c>
      <c r="DY40" s="19" t="n">
        <v>0</v>
      </c>
      <c r="DZ40" s="19" t="n">
        <v>0</v>
      </c>
      <c r="EA40" s="19" t="n">
        <v>0</v>
      </c>
      <c r="EB40" s="19" t="n">
        <v>0</v>
      </c>
      <c r="EC40" s="19" t="n">
        <v>0</v>
      </c>
      <c r="ED40" s="19" t="n">
        <v>0</v>
      </c>
      <c r="EE40" s="19" t="n">
        <v>0</v>
      </c>
      <c r="EF40" s="19" t="n">
        <v>0</v>
      </c>
      <c r="EG40" s="19" t="n">
        <v>0</v>
      </c>
      <c r="EH40" s="19" t="n">
        <v>0</v>
      </c>
      <c r="EI40" s="19" t="n">
        <v>0</v>
      </c>
      <c r="EJ40" s="19" t="n">
        <v>4000000000000</v>
      </c>
      <c r="EK40" s="19" t="n">
        <v>4000000000000</v>
      </c>
      <c r="EL40" s="19" t="n">
        <v>1.8</v>
      </c>
      <c r="EM40" s="19" t="n">
        <v>6000000000</v>
      </c>
      <c r="EN40" s="19" t="n">
        <v>0</v>
      </c>
    </row>
    <row r="41">
      <c r="A41" t="inlineStr">
        <is>
          <t>2025-12-31-S02020200000000</t>
        </is>
      </c>
      <c r="B41" t="inlineStr">
        <is>
          <t>2025-12-31</t>
        </is>
      </c>
      <c r="C41" t="inlineStr">
        <is>
          <t>S02020200000000</t>
        </is>
      </c>
      <c r="D41" s="17" t="inlineStr">
        <is>
          <t xml:space="preserve">　　2. 外币市场化负债</t>
        </is>
      </c>
      <c r="E41" s="18" t="n">
        <v>3</v>
      </c>
      <c r="F41" t="inlineStr">
        <is>
          <t>S02020000000000</t>
        </is>
      </c>
      <c r="G41" t="n">
        <v>1</v>
      </c>
      <c r="H41" t="inlineStr">
        <is>
          <t>LIAB</t>
        </is>
      </c>
      <c r="J41" t="n">
        <v>0</v>
      </c>
      <c r="K41" s="38" t="n">
        <v>1986368467669.33</v>
      </c>
      <c r="L41" s="39">
        <f>SUMPRODUCT($C75:$C134,$B$114:$B$173)+C135*$B$175+C136*$B$176+C137*$B$177+C138*$B$178</f>
        <v/>
      </c>
      <c r="M41" s="19" t="n">
        <v>166600000000</v>
      </c>
      <c r="N41" s="19" t="n">
        <v>166600000000</v>
      </c>
      <c r="O41" s="19" t="n">
        <v>166600000000</v>
      </c>
      <c r="P41" s="19" t="n">
        <v>166600000000</v>
      </c>
      <c r="Q41" s="19" t="n">
        <v>166600000000</v>
      </c>
      <c r="R41" s="19" t="n">
        <v>166600000000</v>
      </c>
      <c r="S41" s="19" t="n">
        <v>166600000000</v>
      </c>
      <c r="T41" s="19" t="n">
        <v>166600000000</v>
      </c>
      <c r="U41" s="19" t="n">
        <v>166600000000</v>
      </c>
      <c r="V41" s="19" t="n">
        <v>166600000000</v>
      </c>
      <c r="W41" s="19" t="n">
        <v>166600000000</v>
      </c>
      <c r="X41" s="19" t="n">
        <v>0</v>
      </c>
      <c r="Y41" s="19" t="n">
        <v>0</v>
      </c>
      <c r="Z41" s="19" t="n">
        <v>0</v>
      </c>
      <c r="AA41" s="19" t="n">
        <v>0</v>
      </c>
      <c r="AB41" s="19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19" t="n">
        <v>0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0</v>
      </c>
      <c r="AW41" s="19" t="n">
        <v>0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0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353000000000</v>
      </c>
      <c r="BY41" s="19" t="n">
        <v>353000000000</v>
      </c>
      <c r="BZ41" s="19" t="n">
        <v>235200000000</v>
      </c>
      <c r="CA41" s="19" t="n">
        <v>117600000000</v>
      </c>
      <c r="CB41" s="19" t="n">
        <v>117600000000</v>
      </c>
      <c r="CC41" s="19" t="n">
        <v>117600000000</v>
      </c>
      <c r="CD41" s="19" t="n">
        <v>117600000000</v>
      </c>
      <c r="CE41" s="19" t="n">
        <v>117600000000</v>
      </c>
      <c r="CF41" s="19" t="n">
        <v>117600000000</v>
      </c>
      <c r="CG41" s="19" t="n">
        <v>117600000000</v>
      </c>
      <c r="CH41" s="19" t="n">
        <v>117600000000</v>
      </c>
      <c r="CI41" s="19" t="n">
        <v>117600000000</v>
      </c>
      <c r="CJ41" s="19" t="n">
        <v>0</v>
      </c>
      <c r="CK41" s="19" t="n">
        <v>0</v>
      </c>
      <c r="CL41" s="19" t="n">
        <v>0</v>
      </c>
      <c r="CM41" s="19" t="n">
        <v>0</v>
      </c>
      <c r="CN41" s="19" t="n">
        <v>0</v>
      </c>
      <c r="CO41" s="19" t="n">
        <v>0</v>
      </c>
      <c r="CP41" s="19" t="n">
        <v>0</v>
      </c>
      <c r="CQ41" s="19" t="n">
        <v>0</v>
      </c>
      <c r="CR41" s="19" t="n">
        <v>0</v>
      </c>
      <c r="CS41" s="19" t="n">
        <v>0</v>
      </c>
      <c r="CT41" s="19" t="n">
        <v>0</v>
      </c>
      <c r="CU41" s="19" t="n">
        <v>0</v>
      </c>
      <c r="CV41" s="19" t="n">
        <v>0</v>
      </c>
      <c r="CW41" s="19" t="n">
        <v>0</v>
      </c>
      <c r="CX41" s="19" t="n">
        <v>0</v>
      </c>
      <c r="CY41" s="19" t="n">
        <v>0</v>
      </c>
      <c r="CZ41" s="19" t="n">
        <v>0</v>
      </c>
      <c r="DA41" s="19" t="n">
        <v>0</v>
      </c>
      <c r="DB41" s="19" t="n">
        <v>0</v>
      </c>
      <c r="DC41" s="19" t="n">
        <v>0</v>
      </c>
      <c r="DD41" s="19" t="n">
        <v>0</v>
      </c>
      <c r="DE41" s="19" t="n">
        <v>0</v>
      </c>
      <c r="DF41" s="19" t="n">
        <v>0</v>
      </c>
      <c r="DG41" s="19" t="n">
        <v>0</v>
      </c>
      <c r="DH41" s="19" t="n">
        <v>0</v>
      </c>
      <c r="DI41" s="19" t="n">
        <v>0</v>
      </c>
      <c r="DJ41" s="19" t="n">
        <v>0</v>
      </c>
      <c r="DK41" s="19" t="n">
        <v>0</v>
      </c>
      <c r="DL41" s="19" t="n">
        <v>0</v>
      </c>
      <c r="DM41" s="19" t="n">
        <v>0</v>
      </c>
      <c r="DN41" s="19" t="n">
        <v>0</v>
      </c>
      <c r="DO41" s="19" t="n">
        <v>0</v>
      </c>
      <c r="DP41" s="19" t="n">
        <v>0</v>
      </c>
      <c r="DQ41" s="19" t="n">
        <v>0</v>
      </c>
      <c r="DR41" s="19" t="n">
        <v>0</v>
      </c>
      <c r="DS41" s="19" t="n">
        <v>0</v>
      </c>
      <c r="DT41" s="19" t="n">
        <v>0</v>
      </c>
      <c r="DU41" s="19" t="n">
        <v>0</v>
      </c>
      <c r="DV41" s="19" t="n">
        <v>0</v>
      </c>
      <c r="DW41" s="19" t="n">
        <v>0</v>
      </c>
      <c r="DX41" s="19" t="n">
        <v>0</v>
      </c>
      <c r="DY41" s="19" t="n">
        <v>0</v>
      </c>
      <c r="DZ41" s="19" t="n">
        <v>0</v>
      </c>
      <c r="EA41" s="19" t="n">
        <v>0</v>
      </c>
      <c r="EB41" s="19" t="n">
        <v>0</v>
      </c>
      <c r="EC41" s="19" t="n">
        <v>0</v>
      </c>
      <c r="ED41" s="19" t="n">
        <v>0</v>
      </c>
      <c r="EE41" s="19" t="n">
        <v>0</v>
      </c>
      <c r="EF41" s="19" t="n">
        <v>0</v>
      </c>
      <c r="EG41" s="19" t="n">
        <v>0</v>
      </c>
      <c r="EH41" s="19" t="n">
        <v>0</v>
      </c>
      <c r="EI41" s="19" t="n">
        <v>0</v>
      </c>
      <c r="EJ41" s="19" t="n">
        <v>2000000000000</v>
      </c>
      <c r="EK41" s="19" t="n">
        <v>2000000000000</v>
      </c>
      <c r="EL41" s="19" t="n">
        <v>3.5</v>
      </c>
      <c r="EM41" s="19" t="n">
        <v>5833333333.3333</v>
      </c>
      <c r="EN41" s="19" t="n">
        <v>0</v>
      </c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n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0" t="inlineStr"/>
      <c r="AY42" s="20" t="inlineStr"/>
      <c r="AZ42" s="20" t="inlineStr"/>
      <c r="BA42" s="20" t="inlineStr"/>
      <c r="BB42" s="20" t="inlineStr"/>
      <c r="BC42" s="20" t="inlineStr"/>
      <c r="BD42" s="20" t="inlineStr"/>
      <c r="BE42" s="20" t="inlineStr"/>
      <c r="BF42" s="20" t="inlineStr"/>
      <c r="BG42" s="20" t="inlineStr"/>
      <c r="BH42" s="20" t="inlineStr"/>
      <c r="BI42" s="20" t="inlineStr"/>
      <c r="BJ42" s="20" t="inlineStr"/>
      <c r="BK42" s="20" t="inlineStr"/>
      <c r="BL42" s="20" t="inlineStr"/>
      <c r="BM42" s="20" t="inlineStr"/>
      <c r="BN42" s="20" t="inlineStr"/>
      <c r="BO42" s="20" t="inlineStr"/>
      <c r="BP42" s="20" t="inlineStr"/>
      <c r="BQ42" s="20" t="inlineStr"/>
      <c r="BR42" s="20" t="inlineStr"/>
      <c r="BS42" s="20" t="inlineStr"/>
      <c r="BT42" s="20" t="inlineStr"/>
      <c r="BU42" s="20" t="inlineStr"/>
      <c r="BV42" s="20" t="inlineStr"/>
      <c r="BW42" s="20" t="inlineStr"/>
      <c r="BX42" s="20" t="inlineStr"/>
      <c r="BY42" s="20" t="inlineStr"/>
      <c r="BZ42" s="20" t="inlineStr"/>
      <c r="CA42" s="20" t="inlineStr"/>
      <c r="CB42" s="20" t="inlineStr"/>
      <c r="CC42" s="20" t="inlineStr"/>
      <c r="CD42" s="20" t="inlineStr"/>
      <c r="CE42" s="20" t="inlineStr"/>
      <c r="CF42" s="20" t="inlineStr"/>
      <c r="CG42" s="20" t="inlineStr"/>
      <c r="CH42" s="20" t="inlineStr"/>
      <c r="CI42" s="20" t="inlineStr"/>
      <c r="CJ42" s="20" t="inlineStr"/>
      <c r="CK42" s="20" t="inlineStr"/>
      <c r="CL42" s="20" t="inlineStr"/>
      <c r="CM42" s="20" t="inlineStr"/>
      <c r="CN42" s="20" t="inlineStr"/>
      <c r="CO42" s="20" t="inlineStr"/>
      <c r="CP42" s="20" t="inlineStr"/>
      <c r="CQ42" s="20" t="inlineStr"/>
      <c r="CR42" s="20" t="inlineStr"/>
      <c r="CS42" s="20" t="inlineStr"/>
      <c r="CT42" s="20" t="inlineStr"/>
      <c r="CU42" s="20" t="inlineStr"/>
      <c r="CV42" s="20" t="inlineStr"/>
      <c r="CW42" s="20" t="inlineStr"/>
      <c r="CX42" s="20" t="inlineStr"/>
      <c r="CY42" s="20" t="inlineStr"/>
      <c r="CZ42" s="20" t="inlineStr"/>
      <c r="DA42" s="20" t="inlineStr"/>
      <c r="DB42" s="20" t="inlineStr"/>
      <c r="DC42" s="20" t="inlineStr"/>
      <c r="DD42" s="20" t="inlineStr"/>
      <c r="DE42" s="20" t="inlineStr"/>
      <c r="DF42" s="20" t="inlineStr"/>
      <c r="DG42" s="20" t="inlineStr"/>
      <c r="DH42" s="20" t="inlineStr"/>
      <c r="DI42" s="20" t="inlineStr"/>
      <c r="DJ42" s="20" t="inlineStr"/>
      <c r="DK42" s="20" t="inlineStr"/>
      <c r="DL42" s="20" t="inlineStr"/>
      <c r="DM42" s="20" t="inlineStr"/>
      <c r="DN42" s="20" t="inlineStr"/>
      <c r="DO42" s="20" t="inlineStr"/>
      <c r="DP42" s="20" t="inlineStr"/>
      <c r="DQ42" s="20" t="inlineStr"/>
      <c r="DR42" s="20" t="inlineStr"/>
      <c r="DS42" s="20" t="inlineStr"/>
      <c r="DT42" s="20" t="inlineStr"/>
      <c r="DU42" s="20" t="inlineStr"/>
      <c r="DV42" s="20" t="inlineStr"/>
      <c r="DW42" s="20" t="inlineStr"/>
      <c r="DX42" s="20" t="inlineStr"/>
      <c r="DY42" s="20" t="inlineStr"/>
      <c r="DZ42" s="20" t="inlineStr"/>
      <c r="EA42" s="20" t="inlineStr"/>
      <c r="EB42" s="20" t="inlineStr"/>
      <c r="EC42" s="20" t="inlineStr"/>
      <c r="ED42" s="20" t="inlineStr"/>
      <c r="EE42" s="20" t="inlineStr"/>
      <c r="EF42" s="20" t="inlineStr"/>
      <c r="EG42" s="20" t="inlineStr"/>
      <c r="EH42" s="20" t="inlineStr"/>
      <c r="EI42" s="20" t="inlineStr"/>
      <c r="EJ42" s="20" t="inlineStr"/>
      <c r="EK42" s="20" t="inlineStr"/>
      <c r="EL42" s="20" t="inlineStr"/>
      <c r="EM42" s="20" t="inlineStr"/>
      <c r="EN42" s="20" t="inlineStr"/>
    </row>
    <row r="43">
      <c r="A43" s="9" t="inlineStr">
        <is>
          <t>2025-12-31-S03000000000000</t>
        </is>
      </c>
      <c r="B43" s="9" t="inlineStr">
        <is>
          <t>2025-12-31</t>
        </is>
      </c>
      <c r="C43" s="9" t="inlineStr">
        <is>
          <t>S03000000000000</t>
        </is>
      </c>
      <c r="D43" s="10" t="inlineStr">
        <is>
          <t>所有者权益</t>
        </is>
      </c>
      <c r="E43" s="11" t="n">
        <v>1</v>
      </c>
      <c r="F43" s="9" t="inlineStr"/>
      <c r="G43" s="9" t="n">
        <v>1</v>
      </c>
      <c r="H43" s="9" t="inlineStr">
        <is>
          <t>EQUITY</t>
        </is>
      </c>
      <c r="I43" s="9" t="inlineStr"/>
      <c r="J43" s="9" t="n">
        <v>0</v>
      </c>
      <c r="K43" s="34" t="n">
        <v>0</v>
      </c>
      <c r="L43" s="35">
        <f>SUMPRODUCT($C75:$C134,$B$114:$B$173)+C135*$B$175+C136*$B$176+C137*$B$177+C138*$B$178</f>
        <v/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10000000000000</v>
      </c>
      <c r="EK43" s="12" t="n">
        <v>10000000000000</v>
      </c>
      <c r="EL43" s="12" t="n">
        <v>0</v>
      </c>
      <c r="EM43" s="12" t="n">
        <v>0</v>
      </c>
      <c r="EN43" s="12" t="n">
        <v>0</v>
      </c>
    </row>
    <row r="46">
      <c r="A46" t="inlineStr">
        <is>
          <t>国债收益率曲线</t>
        </is>
      </c>
    </row>
    <row r="47" ht="24" customHeight="1">
      <c r="A47" s="21" t="inlineStr">
        <is>
          <t>剩余期限</t>
        </is>
      </c>
      <c r="B47" s="21" t="inlineStr">
        <is>
          <t>收益率(%)</t>
        </is>
      </c>
      <c r="C47" s="21" t="inlineStr">
        <is>
          <t>数据来源</t>
        </is>
      </c>
      <c r="D47" s="21" t="inlineStr">
        <is>
          <t>备注</t>
        </is>
      </c>
    </row>
    <row r="48" ht="14.5" customHeight="1">
      <c r="A48" s="22" t="inlineStr">
        <is>
          <t>1M</t>
        </is>
      </c>
      <c r="B48" s="29" t="n">
        <v>1.27</v>
      </c>
      <c r="C48" s="24" t="inlineStr">
        <is>
          <t>线性插值</t>
        </is>
      </c>
      <c r="D48" s="24" t="inlineStr">
        <is>
          <t>基于 0.0833 年插值</t>
        </is>
      </c>
    </row>
    <row r="49" ht="14.5" customHeight="1">
      <c r="A49" s="22" t="inlineStr">
        <is>
          <t>2M</t>
        </is>
      </c>
      <c r="B49" s="29" t="n">
        <v>1.27</v>
      </c>
      <c r="C49" s="24" t="inlineStr">
        <is>
          <t>线性插值</t>
        </is>
      </c>
      <c r="D49" s="24" t="inlineStr">
        <is>
          <t>基于 0.1667 年插值</t>
        </is>
      </c>
    </row>
    <row r="50" ht="14.5" customHeight="1">
      <c r="A50" s="22" t="inlineStr">
        <is>
          <t>3M</t>
        </is>
      </c>
      <c r="B50" s="29" t="n">
        <v>1.27</v>
      </c>
      <c r="C50" s="24" t="inlineStr">
        <is>
          <t>中债登</t>
        </is>
      </c>
      <c r="D50" s="24" t="inlineStr">
        <is>
          <t>关键期限官方数据</t>
        </is>
      </c>
    </row>
    <row r="51" ht="14.5" customHeight="1">
      <c r="A51" s="22" t="inlineStr">
        <is>
          <t>4M</t>
        </is>
      </c>
      <c r="B51" s="29" t="n">
        <v>1.28</v>
      </c>
      <c r="C51" s="24" t="inlineStr">
        <is>
          <t>线性插值</t>
        </is>
      </c>
      <c r="D51" s="24" t="inlineStr">
        <is>
          <t>基于 0.3333 年插值</t>
        </is>
      </c>
    </row>
    <row r="52" ht="14.5" customHeight="1">
      <c r="A52" s="22" t="inlineStr">
        <is>
          <t>5M</t>
        </is>
      </c>
      <c r="B52" s="29" t="n">
        <v>1.29</v>
      </c>
      <c r="C52" s="24" t="inlineStr">
        <is>
          <t>线性插值</t>
        </is>
      </c>
      <c r="D52" s="24" t="inlineStr">
        <is>
          <t>基于 0.4167 年插值</t>
        </is>
      </c>
    </row>
    <row r="53" ht="14.5" customHeight="1">
      <c r="A53" s="22" t="inlineStr">
        <is>
          <t>6M</t>
        </is>
      </c>
      <c r="B53" s="29" t="n">
        <v>1.3</v>
      </c>
      <c r="C53" s="24" t="inlineStr">
        <is>
          <t>中债登</t>
        </is>
      </c>
      <c r="D53" s="24" t="inlineStr">
        <is>
          <t>关键期限官方数据</t>
        </is>
      </c>
    </row>
    <row r="54" ht="14.5" customHeight="1">
      <c r="A54" s="22" t="inlineStr">
        <is>
          <t>7M</t>
        </is>
      </c>
      <c r="B54" s="29" t="n">
        <v>1.31</v>
      </c>
      <c r="C54" s="24" t="inlineStr">
        <is>
          <t>线性插值</t>
        </is>
      </c>
      <c r="D54" s="24" t="inlineStr">
        <is>
          <t>基于 0.5833 年插值</t>
        </is>
      </c>
    </row>
    <row r="55" ht="14.5" customHeight="1">
      <c r="A55" s="22" t="inlineStr">
        <is>
          <t>8M</t>
        </is>
      </c>
      <c r="B55" s="29" t="n">
        <v>1.315</v>
      </c>
      <c r="C55" s="24" t="inlineStr">
        <is>
          <t>线性插值</t>
        </is>
      </c>
      <c r="D55" s="24" t="inlineStr">
        <is>
          <t>基于 0.6667 年插值</t>
        </is>
      </c>
    </row>
    <row r="56" ht="14.5" customHeight="1">
      <c r="A56" s="22" t="inlineStr">
        <is>
          <t>9M</t>
        </is>
      </c>
      <c r="B56" s="29" t="n">
        <v>1.32</v>
      </c>
      <c r="C56" s="24" t="inlineStr">
        <is>
          <t>中债登</t>
        </is>
      </c>
      <c r="D56" s="24" t="inlineStr">
        <is>
          <t>关键期限官方数据</t>
        </is>
      </c>
    </row>
    <row r="57" ht="14.5" customHeight="1">
      <c r="A57" s="22" t="inlineStr">
        <is>
          <t>10M</t>
        </is>
      </c>
      <c r="B57" s="29" t="n">
        <v>1.328</v>
      </c>
      <c r="C57" s="24" t="inlineStr">
        <is>
          <t>线性插值</t>
        </is>
      </c>
      <c r="D57" s="24" t="inlineStr">
        <is>
          <t>基于 0.8333 年插值</t>
        </is>
      </c>
    </row>
    <row r="58" ht="14.5" customHeight="1">
      <c r="A58" s="22" t="inlineStr">
        <is>
          <t>11M</t>
        </is>
      </c>
      <c r="B58" s="29" t="n">
        <v>1.333</v>
      </c>
      <c r="C58" s="24" t="inlineStr">
        <is>
          <t>线性插值</t>
        </is>
      </c>
      <c r="D58" s="24" t="inlineStr">
        <is>
          <t>基于 0.9167 年插值</t>
        </is>
      </c>
    </row>
    <row r="59" ht="14.5" customHeight="1">
      <c r="A59" s="22" t="inlineStr">
        <is>
          <t>12M</t>
        </is>
      </c>
      <c r="B59" s="29" t="n">
        <v>1.3372</v>
      </c>
      <c r="C59" s="24" t="inlineStr">
        <is>
          <t>中债登</t>
        </is>
      </c>
      <c r="D59" s="24" t="inlineStr">
        <is>
          <t>关键期限官方数据</t>
        </is>
      </c>
    </row>
    <row r="60" ht="14.5" customHeight="1">
      <c r="A60" s="22" t="inlineStr">
        <is>
          <t>13M</t>
        </is>
      </c>
      <c r="B60" s="29" t="n">
        <v>1.3393</v>
      </c>
      <c r="C60" s="24" t="inlineStr">
        <is>
          <t>线性插值</t>
        </is>
      </c>
      <c r="D60" s="24" t="inlineStr">
        <is>
          <t>基于 1.0833 年插值</t>
        </is>
      </c>
    </row>
    <row r="61" ht="14.5" customHeight="1">
      <c r="A61" s="22" t="inlineStr">
        <is>
          <t>14M</t>
        </is>
      </c>
      <c r="B61" s="29" t="n">
        <v>1.3415</v>
      </c>
      <c r="C61" s="24" t="inlineStr">
        <is>
          <t>线性插值</t>
        </is>
      </c>
      <c r="D61" s="24" t="inlineStr">
        <is>
          <t>基于 1.1667 年插值</t>
        </is>
      </c>
    </row>
    <row r="62" ht="14.5" customHeight="1">
      <c r="A62" s="22" t="inlineStr">
        <is>
          <t>15M</t>
        </is>
      </c>
      <c r="B62" s="29" t="n">
        <v>1.3436</v>
      </c>
      <c r="C62" s="24" t="inlineStr">
        <is>
          <t>线性插值</t>
        </is>
      </c>
      <c r="D62" s="24" t="inlineStr">
        <is>
          <t>基于 1.2500 年插值</t>
        </is>
      </c>
    </row>
    <row r="63" ht="14.5" customHeight="1">
      <c r="A63" s="22" t="inlineStr">
        <is>
          <t>16M</t>
        </is>
      </c>
      <c r="B63" s="29" t="n">
        <v>1.3457</v>
      </c>
      <c r="C63" s="24" t="inlineStr">
        <is>
          <t>线性插值</t>
        </is>
      </c>
      <c r="D63" s="24" t="inlineStr">
        <is>
          <t>基于 1.3333 年插值</t>
        </is>
      </c>
    </row>
    <row r="64" ht="14.5" customHeight="1">
      <c r="A64" s="22" t="inlineStr">
        <is>
          <t>17M</t>
        </is>
      </c>
      <c r="B64" s="29" t="n">
        <v>1.3479</v>
      </c>
      <c r="C64" s="24" t="inlineStr">
        <is>
          <t>线性插值</t>
        </is>
      </c>
      <c r="D64" s="24" t="inlineStr">
        <is>
          <t>基于 1.4167 年插值</t>
        </is>
      </c>
    </row>
    <row r="65" ht="14.5" customHeight="1">
      <c r="A65" s="22" t="inlineStr">
        <is>
          <t>18M</t>
        </is>
      </c>
      <c r="B65" s="29" t="n">
        <v>1.35</v>
      </c>
      <c r="C65" s="24" t="inlineStr">
        <is>
          <t>线性插值</t>
        </is>
      </c>
      <c r="D65" s="24" t="inlineStr">
        <is>
          <t>基于 1.5000 年插值</t>
        </is>
      </c>
    </row>
    <row r="66" ht="14.5" customHeight="1">
      <c r="A66" s="22" t="inlineStr">
        <is>
          <t>19M</t>
        </is>
      </c>
      <c r="B66" s="29" t="n">
        <v>1.3518</v>
      </c>
      <c r="C66" s="24" t="inlineStr">
        <is>
          <t>线性插值</t>
        </is>
      </c>
      <c r="D66" s="24" t="inlineStr">
        <is>
          <t>基于 1.5833 年插值</t>
        </is>
      </c>
    </row>
    <row r="67" ht="14.5" customHeight="1">
      <c r="A67" s="22" t="inlineStr">
        <is>
          <t>20M</t>
        </is>
      </c>
      <c r="B67" s="29" t="n">
        <v>1.3535</v>
      </c>
      <c r="C67" s="24" t="inlineStr">
        <is>
          <t>线性插值</t>
        </is>
      </c>
      <c r="D67" s="24" t="inlineStr">
        <is>
          <t>基于 1.6667 年插值</t>
        </is>
      </c>
    </row>
    <row r="68" ht="14.5" customHeight="1">
      <c r="A68" s="22" t="inlineStr">
        <is>
          <t>21M</t>
        </is>
      </c>
      <c r="B68" s="29" t="n">
        <v>1.3553</v>
      </c>
      <c r="C68" s="24" t="inlineStr">
        <is>
          <t>线性插值</t>
        </is>
      </c>
      <c r="D68" s="24" t="inlineStr">
        <is>
          <t>基于 1.7500 年插值</t>
        </is>
      </c>
    </row>
    <row r="69" ht="14.5" customHeight="1">
      <c r="A69" s="22" t="inlineStr">
        <is>
          <t>22M</t>
        </is>
      </c>
      <c r="B69" s="29" t="n">
        <v>1.357</v>
      </c>
      <c r="C69" s="24" t="inlineStr">
        <is>
          <t>线性插值</t>
        </is>
      </c>
      <c r="D69" s="24" t="inlineStr">
        <is>
          <t>基于 1.8333 年插值</t>
        </is>
      </c>
    </row>
    <row r="70" ht="14.5" customHeight="1">
      <c r="A70" s="22" t="inlineStr">
        <is>
          <t>23M</t>
        </is>
      </c>
      <c r="B70" s="29" t="n">
        <v>1.3588</v>
      </c>
      <c r="C70" s="24" t="inlineStr">
        <is>
          <t>线性插值</t>
        </is>
      </c>
      <c r="D70" s="24" t="inlineStr">
        <is>
          <t>基于 1.9167 年插值</t>
        </is>
      </c>
    </row>
    <row r="71" ht="14.5" customHeight="1">
      <c r="A71" s="22" t="inlineStr">
        <is>
          <t>24M</t>
        </is>
      </c>
      <c r="B71" s="29" t="n">
        <v>1.3605</v>
      </c>
      <c r="C71" s="24" t="inlineStr">
        <is>
          <t>中债登</t>
        </is>
      </c>
      <c r="D71" s="24" t="inlineStr">
        <is>
          <t>关键期限官方数据</t>
        </is>
      </c>
    </row>
    <row r="72" ht="14.5" customHeight="1">
      <c r="A72" s="22" t="inlineStr">
        <is>
          <t>25M</t>
        </is>
      </c>
      <c r="B72" s="29" t="n">
        <v>1.3621</v>
      </c>
      <c r="C72" s="24" t="inlineStr">
        <is>
          <t>线性插值</t>
        </is>
      </c>
      <c r="D72" s="24" t="inlineStr">
        <is>
          <t>基于 2.0833 年插值</t>
        </is>
      </c>
    </row>
    <row r="73" ht="14.5" customHeight="1">
      <c r="A73" s="22" t="inlineStr">
        <is>
          <t>26M</t>
        </is>
      </c>
      <c r="B73" s="29" t="n">
        <v>1.3637</v>
      </c>
      <c r="C73" s="24" t="inlineStr">
        <is>
          <t>线性插值</t>
        </is>
      </c>
      <c r="D73" s="24" t="inlineStr">
        <is>
          <t>基于 2.1667 年插值</t>
        </is>
      </c>
    </row>
    <row r="74" ht="14.5" customHeight="1">
      <c r="A74" s="22" t="inlineStr">
        <is>
          <t>27M</t>
        </is>
      </c>
      <c r="B74" s="29" t="n">
        <v>1.3653</v>
      </c>
      <c r="C74" s="24" t="inlineStr">
        <is>
          <t>线性插值</t>
        </is>
      </c>
      <c r="D74" s="24" t="inlineStr">
        <is>
          <t>基于 2.2500 年插值</t>
        </is>
      </c>
    </row>
    <row r="75" ht="14.5" customHeight="1">
      <c r="A75" s="22" t="inlineStr">
        <is>
          <t>28M</t>
        </is>
      </c>
      <c r="B75" s="29" t="n">
        <v>1.3668</v>
      </c>
      <c r="C75" s="24" t="inlineStr">
        <is>
          <t>线性插值</t>
        </is>
      </c>
      <c r="D75" s="24" t="inlineStr">
        <is>
          <t>基于 2.3333 年插值</t>
        </is>
      </c>
    </row>
    <row r="76" ht="14.5" customHeight="1">
      <c r="A76" s="22" t="inlineStr">
        <is>
          <t>29M</t>
        </is>
      </c>
      <c r="B76" s="29" t="n">
        <v>1.3684</v>
      </c>
      <c r="C76" s="24" t="inlineStr">
        <is>
          <t>线性插值</t>
        </is>
      </c>
      <c r="D76" s="24" t="inlineStr">
        <is>
          <t>基于 2.4167 年插值</t>
        </is>
      </c>
    </row>
    <row r="77" ht="14.5" customHeight="1">
      <c r="A77" s="22" t="inlineStr">
        <is>
          <t>30M</t>
        </is>
      </c>
      <c r="B77" s="29" t="n">
        <v>1.37</v>
      </c>
      <c r="C77" s="24" t="inlineStr">
        <is>
          <t>线性插值</t>
        </is>
      </c>
      <c r="D77" s="24" t="inlineStr">
        <is>
          <t>基于 2.5000 年插值</t>
        </is>
      </c>
    </row>
    <row r="78" ht="14.5" customHeight="1">
      <c r="A78" s="22" t="inlineStr">
        <is>
          <t>31M</t>
        </is>
      </c>
      <c r="B78" s="29" t="n">
        <v>1.3722</v>
      </c>
      <c r="C78" s="24" t="inlineStr">
        <is>
          <t>线性插值</t>
        </is>
      </c>
      <c r="D78" s="24" t="inlineStr">
        <is>
          <t>基于 2.5833 年插值</t>
        </is>
      </c>
    </row>
    <row r="79" ht="14.5" customHeight="1">
      <c r="A79" s="22" t="inlineStr">
        <is>
          <t>32M</t>
        </is>
      </c>
      <c r="B79" s="29" t="n">
        <v>1.3743</v>
      </c>
      <c r="C79" s="24" t="inlineStr">
        <is>
          <t>线性插值</t>
        </is>
      </c>
      <c r="D79" s="24" t="inlineStr">
        <is>
          <t>基于 2.6667 年插值</t>
        </is>
      </c>
    </row>
    <row r="80" ht="14.5" customHeight="1">
      <c r="A80" s="22" t="inlineStr">
        <is>
          <t>33M</t>
        </is>
      </c>
      <c r="B80" s="29" t="n">
        <v>1.3765</v>
      </c>
      <c r="C80" s="24" t="inlineStr">
        <is>
          <t>线性插值</t>
        </is>
      </c>
      <c r="D80" s="24" t="inlineStr">
        <is>
          <t>基于 2.7500 年插值</t>
        </is>
      </c>
    </row>
    <row r="81" ht="14.5" customHeight="1">
      <c r="A81" s="22" t="inlineStr">
        <is>
          <t>34M</t>
        </is>
      </c>
      <c r="B81" s="29" t="n">
        <v>1.3787</v>
      </c>
      <c r="C81" s="24" t="inlineStr">
        <is>
          <t>线性插值</t>
        </is>
      </c>
      <c r="D81" s="24" t="inlineStr">
        <is>
          <t>基于 2.8333 年插值</t>
        </is>
      </c>
    </row>
    <row r="82" ht="14.5" customHeight="1">
      <c r="A82" s="22" t="inlineStr">
        <is>
          <t>35M</t>
        </is>
      </c>
      <c r="B82" s="29" t="n">
        <v>1.3808</v>
      </c>
      <c r="C82" s="24" t="inlineStr">
        <is>
          <t>线性插值</t>
        </is>
      </c>
      <c r="D82" s="24" t="inlineStr">
        <is>
          <t>基于 2.9167 年插值</t>
        </is>
      </c>
    </row>
    <row r="83" ht="14.5" customHeight="1">
      <c r="A83" s="22" t="inlineStr">
        <is>
          <t>36M</t>
        </is>
      </c>
      <c r="B83" s="29" t="n">
        <v>1.383</v>
      </c>
      <c r="C83" s="24" t="inlineStr">
        <is>
          <t>中债登</t>
        </is>
      </c>
      <c r="D83" s="24" t="inlineStr">
        <is>
          <t>关键期限官方数据</t>
        </is>
      </c>
    </row>
    <row r="84" ht="14.5" customHeight="1">
      <c r="A84" s="22" t="inlineStr">
        <is>
          <t>37M</t>
        </is>
      </c>
      <c r="B84" s="29" t="n">
        <v>1.3927</v>
      </c>
      <c r="C84" s="24" t="inlineStr">
        <is>
          <t>线性插值</t>
        </is>
      </c>
      <c r="D84" s="24" t="inlineStr">
        <is>
          <t>基于 3.0833 年插值</t>
        </is>
      </c>
    </row>
    <row r="85" ht="14.5" customHeight="1">
      <c r="A85" s="22" t="inlineStr">
        <is>
          <t>38M</t>
        </is>
      </c>
      <c r="B85" s="29" t="n">
        <v>1.4025</v>
      </c>
      <c r="C85" s="24" t="inlineStr">
        <is>
          <t>线性插值</t>
        </is>
      </c>
      <c r="D85" s="24" t="inlineStr">
        <is>
          <t>基于 3.1667 年插值</t>
        </is>
      </c>
    </row>
    <row r="86" ht="14.5" customHeight="1">
      <c r="A86" s="22" t="inlineStr">
        <is>
          <t>39M</t>
        </is>
      </c>
      <c r="B86" s="29" t="n">
        <v>1.4123</v>
      </c>
      <c r="C86" s="24" t="inlineStr">
        <is>
          <t>线性插值</t>
        </is>
      </c>
      <c r="D86" s="24" t="inlineStr">
        <is>
          <t>基于 3.2500 年插值</t>
        </is>
      </c>
    </row>
    <row r="87" ht="14.5" customHeight="1">
      <c r="A87" s="22" t="inlineStr">
        <is>
          <t>40M</t>
        </is>
      </c>
      <c r="B87" s="29" t="n">
        <v>1.422</v>
      </c>
      <c r="C87" s="24" t="inlineStr">
        <is>
          <t>线性插值</t>
        </is>
      </c>
      <c r="D87" s="24" t="inlineStr">
        <is>
          <t>基于 3.3333 年插值</t>
        </is>
      </c>
    </row>
    <row r="88" ht="14.5" customHeight="1">
      <c r="A88" s="22" t="inlineStr">
        <is>
          <t>41M</t>
        </is>
      </c>
      <c r="B88" s="29" t="n">
        <v>1.4318</v>
      </c>
      <c r="C88" s="24" t="inlineStr">
        <is>
          <t>线性插值</t>
        </is>
      </c>
      <c r="D88" s="24" t="inlineStr">
        <is>
          <t>基于 3.4167 年插值</t>
        </is>
      </c>
    </row>
    <row r="89" ht="14.5" customHeight="1">
      <c r="A89" s="22" t="inlineStr">
        <is>
          <t>42M</t>
        </is>
      </c>
      <c r="B89" s="29" t="n">
        <v>1.4415</v>
      </c>
      <c r="C89" s="24" t="inlineStr">
        <is>
          <t>线性插值</t>
        </is>
      </c>
      <c r="D89" s="24" t="inlineStr">
        <is>
          <t>基于 3.5000 年插值</t>
        </is>
      </c>
    </row>
    <row r="90" ht="14.5" customHeight="1">
      <c r="A90" s="22" t="inlineStr">
        <is>
          <t>43M</t>
        </is>
      </c>
      <c r="B90" s="29" t="n">
        <v>1.4512</v>
      </c>
      <c r="C90" s="24" t="inlineStr">
        <is>
          <t>线性插值</t>
        </is>
      </c>
      <c r="D90" s="24" t="inlineStr">
        <is>
          <t>基于 3.5833 年插值</t>
        </is>
      </c>
    </row>
    <row r="91" ht="14.5" customHeight="1">
      <c r="A91" s="22" t="inlineStr">
        <is>
          <t>44M</t>
        </is>
      </c>
      <c r="B91" s="29" t="n">
        <v>1.461</v>
      </c>
      <c r="C91" s="24" t="inlineStr">
        <is>
          <t>线性插值</t>
        </is>
      </c>
      <c r="D91" s="24" t="inlineStr">
        <is>
          <t>基于 3.6667 年插值</t>
        </is>
      </c>
    </row>
    <row r="92" ht="14.5" customHeight="1">
      <c r="A92" s="22" t="inlineStr">
        <is>
          <t>45M</t>
        </is>
      </c>
      <c r="B92" s="29" t="n">
        <v>1.4708</v>
      </c>
      <c r="C92" s="24" t="inlineStr">
        <is>
          <t>线性插值</t>
        </is>
      </c>
      <c r="D92" s="24" t="inlineStr">
        <is>
          <t>基于 3.7500 年插值</t>
        </is>
      </c>
    </row>
    <row r="93" ht="14.5" customHeight="1">
      <c r="A93" s="22" t="inlineStr">
        <is>
          <t>46M</t>
        </is>
      </c>
      <c r="B93" s="29" t="n">
        <v>1.4805</v>
      </c>
      <c r="C93" s="24" t="inlineStr">
        <is>
          <t>线性插值</t>
        </is>
      </c>
      <c r="D93" s="24" t="inlineStr">
        <is>
          <t>基于 3.8333 年插值</t>
        </is>
      </c>
    </row>
    <row r="94" ht="14.5" customHeight="1">
      <c r="A94" s="22" t="inlineStr">
        <is>
          <t>47M</t>
        </is>
      </c>
      <c r="B94" s="29" t="n">
        <v>1.4903</v>
      </c>
      <c r="C94" s="24" t="inlineStr">
        <is>
          <t>线性插值</t>
        </is>
      </c>
      <c r="D94" s="24" t="inlineStr">
        <is>
          <t>基于 3.9167 年插值</t>
        </is>
      </c>
    </row>
    <row r="95" ht="14.5" customHeight="1">
      <c r="A95" s="22" t="inlineStr">
        <is>
          <t>48M</t>
        </is>
      </c>
      <c r="B95" s="29" t="n">
        <v>1.5</v>
      </c>
      <c r="C95" s="24" t="inlineStr">
        <is>
          <t>线性插值</t>
        </is>
      </c>
      <c r="D95" s="24" t="inlineStr">
        <is>
          <t>基于 4.0000 年插值</t>
        </is>
      </c>
    </row>
    <row r="96" ht="14.5" customHeight="1">
      <c r="A96" s="22" t="inlineStr">
        <is>
          <t>49M</t>
        </is>
      </c>
      <c r="B96" s="29" t="n">
        <v>1.5109</v>
      </c>
      <c r="C96" s="24" t="inlineStr">
        <is>
          <t>线性插值</t>
        </is>
      </c>
      <c r="D96" s="24" t="inlineStr">
        <is>
          <t>基于 4.0833 年插值</t>
        </is>
      </c>
    </row>
    <row r="97" ht="14.5" customHeight="1">
      <c r="A97" s="22" t="inlineStr">
        <is>
          <t>50M</t>
        </is>
      </c>
      <c r="B97" s="29" t="n">
        <v>1.5218</v>
      </c>
      <c r="C97" s="24" t="inlineStr">
        <is>
          <t>线性插值</t>
        </is>
      </c>
      <c r="D97" s="24" t="inlineStr">
        <is>
          <t>基于 4.1667 年插值</t>
        </is>
      </c>
    </row>
    <row r="98" ht="14.5" customHeight="1">
      <c r="A98" s="22" t="inlineStr">
        <is>
          <t>51M</t>
        </is>
      </c>
      <c r="B98" s="29" t="n">
        <v>1.5327</v>
      </c>
      <c r="C98" s="24" t="inlineStr">
        <is>
          <t>线性插值</t>
        </is>
      </c>
      <c r="D98" s="24" t="inlineStr">
        <is>
          <t>基于 4.2500 年插值</t>
        </is>
      </c>
    </row>
    <row r="99" ht="14.5" customHeight="1">
      <c r="A99" s="22" t="inlineStr">
        <is>
          <t>52M</t>
        </is>
      </c>
      <c r="B99" s="29" t="n">
        <v>1.5436</v>
      </c>
      <c r="C99" s="24" t="inlineStr">
        <is>
          <t>线性插值</t>
        </is>
      </c>
      <c r="D99" s="24" t="inlineStr">
        <is>
          <t>基于 4.3333 年插值</t>
        </is>
      </c>
    </row>
    <row r="100" ht="14.5" customHeight="1">
      <c r="A100" s="22" t="inlineStr">
        <is>
          <t>53M</t>
        </is>
      </c>
      <c r="B100" s="29" t="n">
        <v>1.5545</v>
      </c>
      <c r="C100" s="24" t="inlineStr">
        <is>
          <t>线性插值</t>
        </is>
      </c>
      <c r="D100" s="24" t="inlineStr">
        <is>
          <t>基于 4.4167 年插值</t>
        </is>
      </c>
    </row>
    <row r="101" ht="14.5" customHeight="1">
      <c r="A101" s="22" t="inlineStr">
        <is>
          <t>54M</t>
        </is>
      </c>
      <c r="B101" s="29" t="n">
        <v>1.5655</v>
      </c>
      <c r="C101" s="24" t="inlineStr">
        <is>
          <t>线性插值</t>
        </is>
      </c>
      <c r="D101" s="24" t="inlineStr">
        <is>
          <t>基于 4.5000 年插值</t>
        </is>
      </c>
    </row>
    <row r="102" ht="14.5" customHeight="1">
      <c r="A102" s="22" t="inlineStr">
        <is>
          <t>55M</t>
        </is>
      </c>
      <c r="B102" s="29" t="n">
        <v>1.5764</v>
      </c>
      <c r="C102" s="24" t="inlineStr">
        <is>
          <t>线性插值</t>
        </is>
      </c>
      <c r="D102" s="24" t="inlineStr">
        <is>
          <t>基于 4.5833 年插值</t>
        </is>
      </c>
    </row>
    <row r="103" ht="14.5" customHeight="1">
      <c r="A103" s="22" t="inlineStr">
        <is>
          <t>56M</t>
        </is>
      </c>
      <c r="B103" s="29" t="n">
        <v>1.5873</v>
      </c>
      <c r="C103" s="24" t="inlineStr">
        <is>
          <t>线性插值</t>
        </is>
      </c>
      <c r="D103" s="24" t="inlineStr">
        <is>
          <t>基于 4.6667 年插值</t>
        </is>
      </c>
    </row>
    <row r="104" ht="14.5" customHeight="1">
      <c r="A104" s="22" t="inlineStr">
        <is>
          <t>57M</t>
        </is>
      </c>
      <c r="B104" s="29" t="n">
        <v>1.5982</v>
      </c>
      <c r="C104" s="24" t="inlineStr">
        <is>
          <t>线性插值</t>
        </is>
      </c>
      <c r="D104" s="24" t="inlineStr">
        <is>
          <t>基于 4.7500 年插值</t>
        </is>
      </c>
    </row>
    <row r="105" ht="14.5" customHeight="1">
      <c r="A105" s="22" t="inlineStr">
        <is>
          <t>58M</t>
        </is>
      </c>
      <c r="B105" s="29" t="n">
        <v>1.6091</v>
      </c>
      <c r="C105" s="24" t="inlineStr">
        <is>
          <t>线性插值</t>
        </is>
      </c>
      <c r="D105" s="24" t="inlineStr">
        <is>
          <t>基于 4.8333 年插值</t>
        </is>
      </c>
    </row>
    <row r="106" ht="14.5" customHeight="1">
      <c r="A106" s="22" t="inlineStr">
        <is>
          <t>59M</t>
        </is>
      </c>
      <c r="B106" s="29" t="n">
        <v>1.62</v>
      </c>
      <c r="C106" s="24" t="inlineStr">
        <is>
          <t>线性插值</t>
        </is>
      </c>
      <c r="D106" s="24" t="inlineStr">
        <is>
          <t>基于 4.9167 年插值</t>
        </is>
      </c>
    </row>
    <row r="107" ht="14.5" customHeight="1">
      <c r="A107" s="22" t="inlineStr">
        <is>
          <t>60M</t>
        </is>
      </c>
      <c r="B107" s="29" t="n">
        <v>1.6309</v>
      </c>
      <c r="C107" s="24" t="inlineStr">
        <is>
          <t>中债登</t>
        </is>
      </c>
      <c r="D107" s="24" t="inlineStr">
        <is>
          <t>关键期限官方数据</t>
        </is>
      </c>
    </row>
    <row r="108" ht="14.5" customHeight="1">
      <c r="A108" s="22" t="inlineStr">
        <is>
          <t>10Y</t>
        </is>
      </c>
      <c r="B108" s="29" t="n">
        <v>1.8473</v>
      </c>
      <c r="C108" s="24" t="inlineStr">
        <is>
          <t>中债登</t>
        </is>
      </c>
      <c r="D108" s="24" t="inlineStr">
        <is>
          <t>关键期限官方数据</t>
        </is>
      </c>
    </row>
    <row r="109" ht="14.5" customHeight="1">
      <c r="A109" s="22" t="inlineStr">
        <is>
          <t>15Y</t>
        </is>
      </c>
      <c r="B109" s="29" t="n">
        <v>1.97</v>
      </c>
      <c r="C109" s="24" t="inlineStr">
        <is>
          <t>线性插值</t>
        </is>
      </c>
      <c r="D109" s="24" t="inlineStr">
        <is>
          <t>基于 15.0000 年插值</t>
        </is>
      </c>
    </row>
    <row r="110" ht="14.5" customHeight="1">
      <c r="A110" s="22" t="inlineStr">
        <is>
          <t>20Y</t>
        </is>
      </c>
      <c r="B110" s="29" t="n">
        <v>2.1</v>
      </c>
      <c r="C110" s="24" t="inlineStr">
        <is>
          <t>线性插值</t>
        </is>
      </c>
      <c r="D110" s="24" t="inlineStr">
        <is>
          <t>基于 20.0000 年插值</t>
        </is>
      </c>
    </row>
    <row r="111" ht="14.5" customHeight="1">
      <c r="A111" s="22" t="inlineStr">
        <is>
          <t>30Y</t>
        </is>
      </c>
      <c r="B111" s="29" t="n">
        <v>2.2674</v>
      </c>
      <c r="C111" s="24" t="inlineStr">
        <is>
          <t>中债登</t>
        </is>
      </c>
      <c r="D111" s="24" t="inlineStr">
        <is>
          <t>关键期限官方数据</t>
        </is>
      </c>
    </row>
    <row r="112" ht="24" customHeight="1">
      <c r="A112" s="42" t="inlineStr">
        <is>
          <t>DF 名称</t>
        </is>
      </c>
      <c r="B112" s="42" t="inlineStr">
        <is>
          <t>折现因子公式</t>
        </is>
      </c>
      <c r="C112" s="42" t="inlineStr">
        <is>
          <t>引用收益率</t>
        </is>
      </c>
      <c r="D112" s="43" t="n"/>
      <c r="E112" s="43" t="n"/>
    </row>
    <row r="113">
      <c r="A113" s="44" t="inlineStr">
        <is>
          <t>─── 月度折现因子 (m=1~60) ───</t>
        </is>
      </c>
      <c r="B113" s="50" t="n"/>
      <c r="C113" s="51" t="n"/>
      <c r="D113" s="43" t="n"/>
      <c r="E113" s="43" t="n"/>
    </row>
    <row r="114">
      <c r="A114" s="45" t="inlineStr">
        <is>
          <t>DF 1M</t>
        </is>
      </c>
      <c r="B114" s="46">
        <f>1/(1+$B$48)^(1/12)</f>
        <v/>
      </c>
      <c r="C114" s="45" t="inlineStr">
        <is>
          <t>$B$48</t>
        </is>
      </c>
      <c r="D114" s="43" t="n"/>
      <c r="E114" s="43" t="n"/>
    </row>
    <row r="115">
      <c r="A115" s="45" t="inlineStr">
        <is>
          <t>DF 2M</t>
        </is>
      </c>
      <c r="B115" s="46">
        <f>1/(1+$B$49)^(2/12)</f>
        <v/>
      </c>
      <c r="C115" s="45" t="inlineStr">
        <is>
          <t>$B$49</t>
        </is>
      </c>
      <c r="D115" s="43" t="n"/>
      <c r="E115" s="43" t="n"/>
    </row>
    <row r="116">
      <c r="A116" s="45" t="inlineStr">
        <is>
          <t>DF 3M</t>
        </is>
      </c>
      <c r="B116" s="46">
        <f>1/(1+$B$50)^(3/12)</f>
        <v/>
      </c>
      <c r="C116" s="45" t="inlineStr">
        <is>
          <t>$B$50</t>
        </is>
      </c>
      <c r="D116" s="43" t="n"/>
      <c r="E116" s="43" t="n"/>
    </row>
    <row r="117">
      <c r="A117" s="45" t="inlineStr">
        <is>
          <t>DF 4M</t>
        </is>
      </c>
      <c r="B117" s="46">
        <f>1/(1+$B$51)^(4/12)</f>
        <v/>
      </c>
      <c r="C117" s="45" t="inlineStr">
        <is>
          <t>$B$51</t>
        </is>
      </c>
      <c r="D117" s="43" t="n"/>
      <c r="E117" s="43" t="n"/>
    </row>
    <row r="118">
      <c r="A118" s="45" t="inlineStr">
        <is>
          <t>DF 5M</t>
        </is>
      </c>
      <c r="B118" s="46">
        <f>1/(1+$B$52)^(5/12)</f>
        <v/>
      </c>
      <c r="C118" s="45" t="inlineStr">
        <is>
          <t>$B$52</t>
        </is>
      </c>
      <c r="D118" s="43" t="n"/>
      <c r="E118" s="43" t="n"/>
    </row>
    <row r="119">
      <c r="A119" s="45" t="inlineStr">
        <is>
          <t>DF 6M</t>
        </is>
      </c>
      <c r="B119" s="46">
        <f>1/(1+$B$53)^(6/12)</f>
        <v/>
      </c>
      <c r="C119" s="45" t="inlineStr">
        <is>
          <t>$B$53</t>
        </is>
      </c>
      <c r="D119" s="43" t="n"/>
      <c r="E119" s="43" t="n"/>
    </row>
    <row r="120">
      <c r="A120" s="45" t="inlineStr">
        <is>
          <t>DF 7M</t>
        </is>
      </c>
      <c r="B120" s="46">
        <f>1/(1+$B$54)^(7/12)</f>
        <v/>
      </c>
      <c r="C120" s="45" t="inlineStr">
        <is>
          <t>$B$54</t>
        </is>
      </c>
      <c r="D120" s="43" t="n"/>
      <c r="E120" s="43" t="n"/>
    </row>
    <row r="121">
      <c r="A121" s="45" t="inlineStr">
        <is>
          <t>DF 8M</t>
        </is>
      </c>
      <c r="B121" s="46">
        <f>1/(1+$B$55)^(8/12)</f>
        <v/>
      </c>
      <c r="C121" s="45" t="inlineStr">
        <is>
          <t>$B$55</t>
        </is>
      </c>
      <c r="D121" s="43" t="n"/>
      <c r="E121" s="43" t="n"/>
    </row>
    <row r="122">
      <c r="A122" s="45" t="inlineStr">
        <is>
          <t>DF 9M</t>
        </is>
      </c>
      <c r="B122" s="46">
        <f>1/(1+$B$56)^(9/12)</f>
        <v/>
      </c>
      <c r="C122" s="45" t="inlineStr">
        <is>
          <t>$B$56</t>
        </is>
      </c>
      <c r="D122" s="43" t="n"/>
      <c r="E122" s="43" t="n"/>
    </row>
    <row r="123">
      <c r="A123" s="45" t="inlineStr">
        <is>
          <t>DF 10M</t>
        </is>
      </c>
      <c r="B123" s="46">
        <f>1/(1+$B$57)^(10/12)</f>
        <v/>
      </c>
      <c r="C123" s="45" t="inlineStr">
        <is>
          <t>$B$57</t>
        </is>
      </c>
      <c r="D123" s="43" t="n"/>
      <c r="E123" s="43" t="n"/>
    </row>
    <row r="124">
      <c r="A124" s="45" t="inlineStr">
        <is>
          <t>DF 11M</t>
        </is>
      </c>
      <c r="B124" s="46">
        <f>1/(1+$B$58)^(11/12)</f>
        <v/>
      </c>
      <c r="C124" s="45" t="inlineStr">
        <is>
          <t>$B$58</t>
        </is>
      </c>
      <c r="D124" s="43" t="n"/>
      <c r="E124" s="43" t="n"/>
    </row>
    <row r="125">
      <c r="A125" s="45" t="inlineStr">
        <is>
          <t>DF 12M</t>
        </is>
      </c>
      <c r="B125" s="46">
        <f>1/(1+$B$59)^(12/12)</f>
        <v/>
      </c>
      <c r="C125" s="45" t="inlineStr">
        <is>
          <t>$B$59</t>
        </is>
      </c>
      <c r="D125" s="43" t="n"/>
      <c r="E125" s="43" t="n"/>
    </row>
    <row r="126">
      <c r="A126" s="45" t="inlineStr">
        <is>
          <t>DF 13M</t>
        </is>
      </c>
      <c r="B126" s="46">
        <f>1/(1+$B$60)^(13/12)</f>
        <v/>
      </c>
      <c r="C126" s="45" t="inlineStr">
        <is>
          <t>$B$60</t>
        </is>
      </c>
      <c r="D126" s="43" t="n"/>
      <c r="E126" s="43" t="n"/>
    </row>
    <row r="127">
      <c r="A127" s="45" t="inlineStr">
        <is>
          <t>DF 14M</t>
        </is>
      </c>
      <c r="B127" s="46">
        <f>1/(1+$B$61)^(14/12)</f>
        <v/>
      </c>
      <c r="C127" s="45" t="inlineStr">
        <is>
          <t>$B$61</t>
        </is>
      </c>
      <c r="D127" s="43" t="n"/>
      <c r="E127" s="43" t="n"/>
    </row>
    <row r="128">
      <c r="A128" s="45" t="inlineStr">
        <is>
          <t>DF 15M</t>
        </is>
      </c>
      <c r="B128" s="46">
        <f>1/(1+$B$62)^(15/12)</f>
        <v/>
      </c>
      <c r="C128" s="45" t="inlineStr">
        <is>
          <t>$B$62</t>
        </is>
      </c>
      <c r="D128" s="43" t="n"/>
      <c r="E128" s="43" t="n"/>
    </row>
    <row r="129">
      <c r="A129" s="45" t="inlineStr">
        <is>
          <t>DF 16M</t>
        </is>
      </c>
      <c r="B129" s="46">
        <f>1/(1+$B$63)^(16/12)</f>
        <v/>
      </c>
      <c r="C129" s="45" t="inlineStr">
        <is>
          <t>$B$63</t>
        </is>
      </c>
      <c r="D129" s="43" t="n"/>
      <c r="E129" s="43" t="n"/>
    </row>
    <row r="130">
      <c r="A130" s="45" t="inlineStr">
        <is>
          <t>DF 17M</t>
        </is>
      </c>
      <c r="B130" s="46">
        <f>1/(1+$B$64)^(17/12)</f>
        <v/>
      </c>
      <c r="C130" s="45" t="inlineStr">
        <is>
          <t>$B$64</t>
        </is>
      </c>
      <c r="D130" s="43" t="n"/>
      <c r="E130" s="43" t="n"/>
    </row>
    <row r="131">
      <c r="A131" s="45" t="inlineStr">
        <is>
          <t>DF 18M</t>
        </is>
      </c>
      <c r="B131" s="46">
        <f>1/(1+$B$65)^(18/12)</f>
        <v/>
      </c>
      <c r="C131" s="45" t="inlineStr">
        <is>
          <t>$B$65</t>
        </is>
      </c>
      <c r="D131" s="43" t="n"/>
      <c r="E131" s="43" t="n"/>
    </row>
    <row r="132">
      <c r="A132" s="45" t="inlineStr">
        <is>
          <t>DF 19M</t>
        </is>
      </c>
      <c r="B132" s="46">
        <f>1/(1+$B$66)^(19/12)</f>
        <v/>
      </c>
      <c r="C132" s="45" t="inlineStr">
        <is>
          <t>$B$66</t>
        </is>
      </c>
      <c r="D132" s="43" t="n"/>
      <c r="E132" s="43" t="n"/>
    </row>
    <row r="133">
      <c r="A133" s="45" t="inlineStr">
        <is>
          <t>DF 20M</t>
        </is>
      </c>
      <c r="B133" s="46">
        <f>1/(1+$B$67)^(20/12)</f>
        <v/>
      </c>
      <c r="C133" s="45" t="inlineStr">
        <is>
          <t>$B$67</t>
        </is>
      </c>
      <c r="D133" s="43" t="n"/>
      <c r="E133" s="43" t="n"/>
    </row>
    <row r="134">
      <c r="A134" s="45" t="inlineStr">
        <is>
          <t>DF 21M</t>
        </is>
      </c>
      <c r="B134" s="46">
        <f>1/(1+$B$68)^(21/12)</f>
        <v/>
      </c>
      <c r="C134" s="45" t="inlineStr">
        <is>
          <t>$B$68</t>
        </is>
      </c>
      <c r="D134" s="43" t="n"/>
      <c r="E134" s="43" t="n"/>
    </row>
    <row r="135">
      <c r="A135" s="45" t="inlineStr">
        <is>
          <t>DF 22M</t>
        </is>
      </c>
      <c r="B135" s="46">
        <f>1/(1+$B$69)^(22/12)</f>
        <v/>
      </c>
      <c r="C135" s="45" t="inlineStr">
        <is>
          <t>$B$69</t>
        </is>
      </c>
      <c r="D135" s="43" t="n"/>
      <c r="E135" s="43" t="n"/>
    </row>
    <row r="136">
      <c r="A136" s="45" t="inlineStr">
        <is>
          <t>DF 23M</t>
        </is>
      </c>
      <c r="B136" s="46">
        <f>1/(1+$B$70)^(23/12)</f>
        <v/>
      </c>
      <c r="C136" s="45" t="inlineStr">
        <is>
          <t>$B$70</t>
        </is>
      </c>
      <c r="D136" s="43" t="n"/>
      <c r="E136" s="43" t="n"/>
    </row>
    <row r="137">
      <c r="A137" s="45" t="inlineStr">
        <is>
          <t>DF 24M</t>
        </is>
      </c>
      <c r="B137" s="46">
        <f>1/(1+$B$71)^(24/12)</f>
        <v/>
      </c>
      <c r="C137" s="45" t="inlineStr">
        <is>
          <t>$B$71</t>
        </is>
      </c>
      <c r="D137" s="43" t="n"/>
      <c r="E137" s="43" t="n"/>
    </row>
    <row r="138">
      <c r="A138" s="45" t="inlineStr">
        <is>
          <t>DF 25M</t>
        </is>
      </c>
      <c r="B138" s="46">
        <f>1/(1+$B$72)^(25/12)</f>
        <v/>
      </c>
      <c r="C138" s="45" t="inlineStr">
        <is>
          <t>$B$72</t>
        </is>
      </c>
      <c r="D138" s="43" t="n"/>
      <c r="E138" s="43" t="n"/>
    </row>
    <row r="139">
      <c r="A139" s="45" t="inlineStr">
        <is>
          <t>DF 26M</t>
        </is>
      </c>
      <c r="B139" s="46">
        <f>1/(1+$B$73)^(26/12)</f>
        <v/>
      </c>
      <c r="C139" s="45" t="inlineStr">
        <is>
          <t>$B$73</t>
        </is>
      </c>
      <c r="D139" s="43" t="n"/>
      <c r="E139" s="43" t="n"/>
    </row>
    <row r="140">
      <c r="A140" s="45" t="inlineStr">
        <is>
          <t>DF 27M</t>
        </is>
      </c>
      <c r="B140" s="46">
        <f>1/(1+$B$74)^(27/12)</f>
        <v/>
      </c>
      <c r="C140" s="45" t="inlineStr">
        <is>
          <t>$B$74</t>
        </is>
      </c>
      <c r="D140" s="43" t="n"/>
      <c r="E140" s="43" t="n"/>
    </row>
    <row r="141">
      <c r="A141" s="45" t="inlineStr">
        <is>
          <t>DF 28M</t>
        </is>
      </c>
      <c r="B141" s="46">
        <f>1/(1+$B$75)^(28/12)</f>
        <v/>
      </c>
      <c r="C141" s="45" t="inlineStr">
        <is>
          <t>$B$75</t>
        </is>
      </c>
      <c r="D141" s="43" t="n"/>
      <c r="E141" s="43" t="n"/>
    </row>
    <row r="142">
      <c r="A142" s="45" t="inlineStr">
        <is>
          <t>DF 29M</t>
        </is>
      </c>
      <c r="B142" s="46">
        <f>1/(1+$B$76)^(29/12)</f>
        <v/>
      </c>
      <c r="C142" s="45" t="inlineStr">
        <is>
          <t>$B$76</t>
        </is>
      </c>
      <c r="D142" s="43" t="n"/>
      <c r="E142" s="43" t="n"/>
    </row>
    <row r="143">
      <c r="A143" s="45" t="inlineStr">
        <is>
          <t>DF 30M</t>
        </is>
      </c>
      <c r="B143" s="46">
        <f>1/(1+$B$77)^(30/12)</f>
        <v/>
      </c>
      <c r="C143" s="45" t="inlineStr">
        <is>
          <t>$B$77</t>
        </is>
      </c>
      <c r="D143" s="43" t="n"/>
      <c r="E143" s="43" t="n"/>
    </row>
    <row r="144">
      <c r="A144" s="45" t="inlineStr">
        <is>
          <t>DF 31M</t>
        </is>
      </c>
      <c r="B144" s="46">
        <f>1/(1+$B$78)^(31/12)</f>
        <v/>
      </c>
      <c r="C144" s="45" t="inlineStr">
        <is>
          <t>$B$78</t>
        </is>
      </c>
      <c r="D144" s="43" t="n"/>
      <c r="E144" s="43" t="n"/>
    </row>
    <row r="145">
      <c r="A145" s="45" t="inlineStr">
        <is>
          <t>DF 32M</t>
        </is>
      </c>
      <c r="B145" s="46">
        <f>1/(1+$B$79)^(32/12)</f>
        <v/>
      </c>
      <c r="C145" s="45" t="inlineStr">
        <is>
          <t>$B$79</t>
        </is>
      </c>
      <c r="D145" s="43" t="n"/>
      <c r="E145" s="43" t="n"/>
    </row>
    <row r="146">
      <c r="A146" s="45" t="inlineStr">
        <is>
          <t>DF 33M</t>
        </is>
      </c>
      <c r="B146" s="46">
        <f>1/(1+$B$80)^(33/12)</f>
        <v/>
      </c>
      <c r="C146" s="45" t="inlineStr">
        <is>
          <t>$B$80</t>
        </is>
      </c>
      <c r="D146" s="43" t="n"/>
      <c r="E146" s="43" t="n"/>
    </row>
    <row r="147">
      <c r="A147" s="45" t="inlineStr">
        <is>
          <t>DF 34M</t>
        </is>
      </c>
      <c r="B147" s="46">
        <f>1/(1+$B$81)^(34/12)</f>
        <v/>
      </c>
      <c r="C147" s="45" t="inlineStr">
        <is>
          <t>$B$81</t>
        </is>
      </c>
      <c r="D147" s="43" t="n"/>
      <c r="E147" s="43" t="n"/>
    </row>
    <row r="148">
      <c r="A148" s="45" t="inlineStr">
        <is>
          <t>DF 35M</t>
        </is>
      </c>
      <c r="B148" s="46">
        <f>1/(1+$B$82)^(35/12)</f>
        <v/>
      </c>
      <c r="C148" s="45" t="inlineStr">
        <is>
          <t>$B$82</t>
        </is>
      </c>
      <c r="D148" s="43" t="n"/>
      <c r="E148" s="43" t="n"/>
    </row>
    <row r="149">
      <c r="A149" s="45" t="inlineStr">
        <is>
          <t>DF 36M</t>
        </is>
      </c>
      <c r="B149" s="46">
        <f>1/(1+$B$83)^(36/12)</f>
        <v/>
      </c>
      <c r="C149" s="45" t="inlineStr">
        <is>
          <t>$B$83</t>
        </is>
      </c>
      <c r="D149" s="43" t="n"/>
      <c r="E149" s="43" t="n"/>
    </row>
    <row r="150">
      <c r="A150" s="45" t="inlineStr">
        <is>
          <t>DF 37M</t>
        </is>
      </c>
      <c r="B150" s="46">
        <f>1/(1+$B$84)^(37/12)</f>
        <v/>
      </c>
      <c r="C150" s="45" t="inlineStr">
        <is>
          <t>$B$84</t>
        </is>
      </c>
      <c r="D150" s="43" t="n"/>
      <c r="E150" s="43" t="n"/>
    </row>
    <row r="151">
      <c r="A151" s="45" t="inlineStr">
        <is>
          <t>DF 38M</t>
        </is>
      </c>
      <c r="B151" s="46">
        <f>1/(1+$B$85)^(38/12)</f>
        <v/>
      </c>
      <c r="C151" s="45" t="inlineStr">
        <is>
          <t>$B$85</t>
        </is>
      </c>
      <c r="D151" s="43" t="n"/>
      <c r="E151" s="43" t="n"/>
    </row>
    <row r="152">
      <c r="A152" s="45" t="inlineStr">
        <is>
          <t>DF 39M</t>
        </is>
      </c>
      <c r="B152" s="46">
        <f>1/(1+$B$86)^(39/12)</f>
        <v/>
      </c>
      <c r="C152" s="45" t="inlineStr">
        <is>
          <t>$B$86</t>
        </is>
      </c>
      <c r="D152" s="43" t="n"/>
      <c r="E152" s="43" t="n"/>
    </row>
    <row r="153">
      <c r="A153" s="45" t="inlineStr">
        <is>
          <t>DF 40M</t>
        </is>
      </c>
      <c r="B153" s="46">
        <f>1/(1+$B$87)^(40/12)</f>
        <v/>
      </c>
      <c r="C153" s="45" t="inlineStr">
        <is>
          <t>$B$87</t>
        </is>
      </c>
      <c r="D153" s="43" t="n"/>
      <c r="E153" s="43" t="n"/>
    </row>
    <row r="154">
      <c r="A154" s="45" t="inlineStr">
        <is>
          <t>DF 41M</t>
        </is>
      </c>
      <c r="B154" s="46">
        <f>1/(1+$B$88)^(41/12)</f>
        <v/>
      </c>
      <c r="C154" s="45" t="inlineStr">
        <is>
          <t>$B$88</t>
        </is>
      </c>
      <c r="D154" s="43" t="n"/>
      <c r="E154" s="43" t="n"/>
    </row>
    <row r="155">
      <c r="A155" s="45" t="inlineStr">
        <is>
          <t>DF 42M</t>
        </is>
      </c>
      <c r="B155" s="46">
        <f>1/(1+$B$89)^(42/12)</f>
        <v/>
      </c>
      <c r="C155" s="45" t="inlineStr">
        <is>
          <t>$B$89</t>
        </is>
      </c>
      <c r="D155" s="43" t="n"/>
      <c r="E155" s="43" t="n"/>
    </row>
    <row r="156">
      <c r="A156" s="45" t="inlineStr">
        <is>
          <t>DF 43M</t>
        </is>
      </c>
      <c r="B156" s="46">
        <f>1/(1+$B$90)^(43/12)</f>
        <v/>
      </c>
      <c r="C156" s="45" t="inlineStr">
        <is>
          <t>$B$90</t>
        </is>
      </c>
      <c r="D156" s="43" t="n"/>
      <c r="E156" s="43" t="n"/>
    </row>
    <row r="157">
      <c r="A157" s="45" t="inlineStr">
        <is>
          <t>DF 44M</t>
        </is>
      </c>
      <c r="B157" s="46">
        <f>1/(1+$B$91)^(44/12)</f>
        <v/>
      </c>
      <c r="C157" s="45" t="inlineStr">
        <is>
          <t>$B$91</t>
        </is>
      </c>
      <c r="D157" s="43" t="n"/>
      <c r="E157" s="43" t="n"/>
    </row>
    <row r="158">
      <c r="A158" s="45" t="inlineStr">
        <is>
          <t>DF 45M</t>
        </is>
      </c>
      <c r="B158" s="46">
        <f>1/(1+$B$92)^(45/12)</f>
        <v/>
      </c>
      <c r="C158" s="45" t="inlineStr">
        <is>
          <t>$B$92</t>
        </is>
      </c>
      <c r="D158" s="43" t="n"/>
      <c r="E158" s="43" t="n"/>
    </row>
    <row r="159">
      <c r="A159" s="45" t="inlineStr">
        <is>
          <t>DF 46M</t>
        </is>
      </c>
      <c r="B159" s="46">
        <f>1/(1+$B$93)^(46/12)</f>
        <v/>
      </c>
      <c r="C159" s="45" t="inlineStr">
        <is>
          <t>$B$93</t>
        </is>
      </c>
      <c r="D159" s="43" t="n"/>
      <c r="E159" s="43" t="n"/>
    </row>
    <row r="160">
      <c r="A160" s="45" t="inlineStr">
        <is>
          <t>DF 47M</t>
        </is>
      </c>
      <c r="B160" s="46">
        <f>1/(1+$B$94)^(47/12)</f>
        <v/>
      </c>
      <c r="C160" s="45" t="inlineStr">
        <is>
          <t>$B$94</t>
        </is>
      </c>
      <c r="D160" s="43" t="n"/>
      <c r="E160" s="43" t="n"/>
    </row>
    <row r="161">
      <c r="A161" s="45" t="inlineStr">
        <is>
          <t>DF 48M</t>
        </is>
      </c>
      <c r="B161" s="46">
        <f>1/(1+$B$95)^(48/12)</f>
        <v/>
      </c>
      <c r="C161" s="45" t="inlineStr">
        <is>
          <t>$B$95</t>
        </is>
      </c>
      <c r="D161" s="43" t="n"/>
      <c r="E161" s="43" t="n"/>
    </row>
    <row r="162">
      <c r="A162" s="45" t="inlineStr">
        <is>
          <t>DF 49M</t>
        </is>
      </c>
      <c r="B162" s="46">
        <f>1/(1+$B$96)^(49/12)</f>
        <v/>
      </c>
      <c r="C162" s="45" t="inlineStr">
        <is>
          <t>$B$96</t>
        </is>
      </c>
      <c r="D162" s="43" t="n"/>
      <c r="E162" s="43" t="n"/>
    </row>
    <row r="163">
      <c r="A163" s="45" t="inlineStr">
        <is>
          <t>DF 50M</t>
        </is>
      </c>
      <c r="B163" s="46">
        <f>1/(1+$B$97)^(50/12)</f>
        <v/>
      </c>
      <c r="C163" s="45" t="inlineStr">
        <is>
          <t>$B$97</t>
        </is>
      </c>
      <c r="D163" s="43" t="n"/>
      <c r="E163" s="43" t="n"/>
    </row>
    <row r="164">
      <c r="A164" s="45" t="inlineStr">
        <is>
          <t>DF 51M</t>
        </is>
      </c>
      <c r="B164" s="46">
        <f>1/(1+$B$98)^(51/12)</f>
        <v/>
      </c>
      <c r="C164" s="45" t="inlineStr">
        <is>
          <t>$B$98</t>
        </is>
      </c>
      <c r="D164" s="43" t="n"/>
      <c r="E164" s="43" t="n"/>
    </row>
    <row r="165">
      <c r="A165" s="45" t="inlineStr">
        <is>
          <t>DF 52M</t>
        </is>
      </c>
      <c r="B165" s="46">
        <f>1/(1+$B$99)^(52/12)</f>
        <v/>
      </c>
      <c r="C165" s="45" t="inlineStr">
        <is>
          <t>$B$99</t>
        </is>
      </c>
      <c r="D165" s="43" t="n"/>
      <c r="E165" s="43" t="n"/>
    </row>
    <row r="166">
      <c r="A166" s="45" t="inlineStr">
        <is>
          <t>DF 53M</t>
        </is>
      </c>
      <c r="B166" s="46">
        <f>1/(1+$B$100)^(53/12)</f>
        <v/>
      </c>
      <c r="C166" s="45" t="inlineStr">
        <is>
          <t>$B$100</t>
        </is>
      </c>
      <c r="D166" s="43" t="n"/>
      <c r="E166" s="43" t="n"/>
    </row>
    <row r="167">
      <c r="A167" s="45" t="inlineStr">
        <is>
          <t>DF 54M</t>
        </is>
      </c>
      <c r="B167" s="46">
        <f>1/(1+$B$101)^(54/12)</f>
        <v/>
      </c>
      <c r="C167" s="45" t="inlineStr">
        <is>
          <t>$B$101</t>
        </is>
      </c>
      <c r="D167" s="43" t="n"/>
      <c r="E167" s="43" t="n"/>
    </row>
    <row r="168">
      <c r="A168" s="45" t="inlineStr">
        <is>
          <t>DF 55M</t>
        </is>
      </c>
      <c r="B168" s="46">
        <f>1/(1+$B$102)^(55/12)</f>
        <v/>
      </c>
      <c r="C168" s="45" t="inlineStr">
        <is>
          <t>$B$102</t>
        </is>
      </c>
      <c r="D168" s="43" t="n"/>
      <c r="E168" s="43" t="n"/>
    </row>
    <row r="169">
      <c r="A169" s="45" t="inlineStr">
        <is>
          <t>DF 56M</t>
        </is>
      </c>
      <c r="B169" s="46">
        <f>1/(1+$B$103)^(56/12)</f>
        <v/>
      </c>
      <c r="C169" s="45" t="inlineStr">
        <is>
          <t>$B$103</t>
        </is>
      </c>
      <c r="D169" s="43" t="n"/>
      <c r="E169" s="43" t="n"/>
    </row>
    <row r="170">
      <c r="A170" s="45" t="inlineStr">
        <is>
          <t>DF 57M</t>
        </is>
      </c>
      <c r="B170" s="46">
        <f>1/(1+$B$104)^(57/12)</f>
        <v/>
      </c>
      <c r="C170" s="45" t="inlineStr">
        <is>
          <t>$B$104</t>
        </is>
      </c>
      <c r="D170" s="43" t="n"/>
      <c r="E170" s="43" t="n"/>
    </row>
    <row r="171">
      <c r="A171" s="45" t="inlineStr">
        <is>
          <t>DF 58M</t>
        </is>
      </c>
      <c r="B171" s="46">
        <f>1/(1+$B$105)^(58/12)</f>
        <v/>
      </c>
      <c r="C171" s="45" t="inlineStr">
        <is>
          <t>$B$105</t>
        </is>
      </c>
      <c r="D171" s="43" t="n"/>
      <c r="E171" s="43" t="n"/>
    </row>
    <row r="172">
      <c r="A172" s="45" t="inlineStr">
        <is>
          <t>DF 59M</t>
        </is>
      </c>
      <c r="B172" s="46">
        <f>1/(1+$B$106)^(59/12)</f>
        <v/>
      </c>
      <c r="C172" s="45" t="inlineStr">
        <is>
          <t>$B$106</t>
        </is>
      </c>
      <c r="D172" s="43" t="n"/>
      <c r="E172" s="43" t="n"/>
    </row>
    <row r="173">
      <c r="A173" s="45" t="inlineStr">
        <is>
          <t>DF 60M</t>
        </is>
      </c>
      <c r="B173" s="46">
        <f>1/(1+$B$107)^(60/12)</f>
        <v/>
      </c>
      <c r="C173" s="45" t="inlineStr">
        <is>
          <t>$B$107</t>
        </is>
      </c>
      <c r="D173" s="43" t="n"/>
      <c r="E173" s="43" t="n"/>
    </row>
    <row r="174">
      <c r="A174" s="44" t="inlineStr">
        <is>
          <t>─── 年度折现因子 (t=10/15/20/30) ───</t>
        </is>
      </c>
      <c r="B174" s="50" t="n"/>
      <c r="C174" s="51" t="n"/>
      <c r="D174" s="43" t="n"/>
      <c r="E174" s="43" t="n"/>
    </row>
    <row r="175">
      <c r="A175" s="45" t="inlineStr">
        <is>
          <t>DF 10Y</t>
        </is>
      </c>
      <c r="B175" s="46">
        <f>1/(1+$B$108)^10</f>
        <v/>
      </c>
      <c r="C175" s="45" t="inlineStr">
        <is>
          <t>$B$108</t>
        </is>
      </c>
      <c r="D175" s="43" t="n"/>
      <c r="E175" s="43" t="n"/>
    </row>
    <row r="176">
      <c r="A176" s="45" t="inlineStr">
        <is>
          <t>DF 15Y</t>
        </is>
      </c>
      <c r="B176" s="46">
        <f>1/(1+$B$109)^15</f>
        <v/>
      </c>
      <c r="C176" s="45" t="inlineStr">
        <is>
          <t>$B$109</t>
        </is>
      </c>
      <c r="D176" s="43" t="n"/>
      <c r="E176" s="43" t="n"/>
    </row>
    <row r="177">
      <c r="A177" s="45" t="inlineStr">
        <is>
          <t>DF 20Y</t>
        </is>
      </c>
      <c r="B177" s="46">
        <f>1/(1+$B$110)^20</f>
        <v/>
      </c>
      <c r="C177" s="45" t="inlineStr">
        <is>
          <t>$B$110</t>
        </is>
      </c>
      <c r="D177" s="43" t="n"/>
      <c r="E177" s="43" t="n"/>
    </row>
    <row r="178">
      <c r="A178" s="45" t="inlineStr">
        <is>
          <t>DF 30Y</t>
        </is>
      </c>
      <c r="B178" s="46">
        <f>1/(1+$B$111)^30</f>
        <v/>
      </c>
      <c r="C178" s="45" t="inlineStr">
        <is>
          <t>$B$111</t>
        </is>
      </c>
      <c r="D178" s="43" t="n"/>
      <c r="E178" s="43" t="n"/>
    </row>
    <row r="179">
      <c r="A179" s="43" t="n"/>
      <c r="B179" s="43" t="n"/>
      <c r="C179" s="43" t="n"/>
      <c r="D179" s="43" t="n"/>
      <c r="E179" s="43" t="n"/>
    </row>
    <row r="180">
      <c r="A180" s="47" t="inlineStr">
        <is>
          <t>通用公式: DF_t = 1 / (1 + r_t)^t</t>
        </is>
      </c>
      <c r="B180" s="50" t="n"/>
      <c r="C180" s="51" t="n"/>
      <c r="D180" s="43" t="n"/>
      <c r="E180" s="43" t="n"/>
    </row>
    <row r="181">
      <c r="A181" s="48" t="inlineStr">
        <is>
          <t>其中: r_t = 国债收益率 (B48-B111), t = 期限 (月=1~60, 年=10/15/20/30)</t>
        </is>
      </c>
      <c r="B181" s="50" t="n"/>
      <c r="C181" s="51" t="n"/>
      <c r="D181" s="43" t="n"/>
      <c r="E181" s="43" t="n"/>
    </row>
    <row r="182">
      <c r="A182" s="49" t="inlineStr">
        <is>
          <t>提示: WPS 打开后请按 Ctrl+Alt+F9 强制重算</t>
        </is>
      </c>
      <c r="B182" s="50" t="n"/>
      <c r="C182" s="51" t="n"/>
      <c r="D182" s="43" t="n"/>
      <c r="E182" s="43" t="n"/>
    </row>
  </sheetData>
  <mergeCells count="9">
    <mergeCell ref="EJ2:EN2"/>
    <mergeCell ref="BX2:EI2"/>
    <mergeCell ref="A181:C181"/>
    <mergeCell ref="A1:EN1"/>
    <mergeCell ref="A174:C174"/>
    <mergeCell ref="L2:BW2"/>
    <mergeCell ref="A180:C180"/>
    <mergeCell ref="A113:C113"/>
    <mergeCell ref="A182:C1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8" customWidth="1" min="4" max="4"/>
  </cols>
  <sheetData>
    <row r="1" ht="30" customHeight="1">
      <c r="A1" s="52" t="inlineStr">
        <is>
          <t>折现的计量说明 (Discount Methodology)</t>
        </is>
      </c>
    </row>
    <row r="2">
      <c r="A2" s="53" t="inlineStr">
        <is>
          <t>基于 prcp_basic_20251231_v4.xlsx 的折现计量过程, 包含全部公式解释</t>
        </is>
      </c>
    </row>
    <row r="4">
      <c r="A4" s="54" t="inlineStr">
        <is>
          <t>一、折现基本概念</t>
        </is>
      </c>
    </row>
    <row r="5" ht="22" customHeight="1">
      <c r="A5" s="42" t="inlineStr">
        <is>
          <t>概念</t>
        </is>
      </c>
      <c r="B5" s="42" t="inlineStr">
        <is>
          <t>说明</t>
        </is>
      </c>
    </row>
    <row r="6">
      <c r="A6" s="55" t="inlineStr">
        <is>
          <t>现值 (PV)</t>
        </is>
      </c>
      <c r="B6" s="55" t="inlineStr">
        <is>
          <t>把未来的现金流按合适的利率折现到现在的价值</t>
        </is>
      </c>
    </row>
    <row r="7">
      <c r="A7" s="55" t="inlineStr">
        <is>
          <t>折现因子 (DF)</t>
        </is>
      </c>
      <c r="B7" s="55" t="inlineStr">
        <is>
          <t>未来 1 元钱在今天的价值, 范围 (0, 1]</t>
        </is>
      </c>
    </row>
    <row r="8">
      <c r="A8" s="55" t="inlineStr">
        <is>
          <t>折现率 (r)</t>
        </is>
      </c>
      <c r="B8" s="55" t="inlineStr">
        <is>
          <t>把未来现金流还原到现在所使用的利率, 通常采用无风险利率 (国债收益率)</t>
        </is>
      </c>
    </row>
    <row r="9">
      <c r="A9" s="55" t="inlineStr">
        <is>
          <t>期限 (t)</t>
        </is>
      </c>
      <c r="B9" s="55" t="inlineStr">
        <is>
          <t>从现在到现金流发生的时间间隔, 单位: 年</t>
        </is>
      </c>
    </row>
    <row r="10">
      <c r="A10" s="55" t="inlineStr">
        <is>
          <t>复利方式</t>
        </is>
      </c>
      <c r="B10" s="55" t="inlineStr">
        <is>
          <t>年复利: DF = 1/(1+r)^t | 连续复利: DF = e^(-rt)</t>
        </is>
      </c>
    </row>
    <row r="12">
      <c r="A12" s="54" t="inlineStr">
        <is>
          <t>二、核心公式</t>
        </is>
      </c>
    </row>
    <row r="13">
      <c r="A13" s="56" t="inlineStr">
        <is>
          <t>2.1 折现因子 (Discount Factor)</t>
        </is>
      </c>
    </row>
    <row r="14">
      <c r="A14" s="57" t="inlineStr">
        <is>
          <t>公式 (年复利):  DF_t = 1 / (1 + r_t)^t</t>
        </is>
      </c>
    </row>
    <row r="15">
      <c r="A15" s="57" t="inlineStr">
        <is>
          <t>公式 (连续复利):  DF_t = e^(-r_t × t)</t>
        </is>
      </c>
    </row>
    <row r="16" ht="22" customHeight="1">
      <c r="A16" s="42" t="inlineStr">
        <is>
          <t>变量</t>
        </is>
      </c>
      <c r="B16" s="42" t="inlineStr">
        <is>
          <t>含义</t>
        </is>
      </c>
      <c r="C16" s="42" t="inlineStr">
        <is>
          <t>单位</t>
        </is>
      </c>
      <c r="D16" s="42" t="inlineStr">
        <is>
          <t>示例</t>
        </is>
      </c>
    </row>
    <row r="17">
      <c r="A17" s="55" t="inlineStr">
        <is>
          <t>DF_t</t>
        </is>
      </c>
      <c r="B17" s="55" t="inlineStr">
        <is>
          <t>期限 t 的折现因子</t>
        </is>
      </c>
      <c r="C17" s="55" t="inlineStr">
        <is>
          <t>无量纲</t>
        </is>
      </c>
      <c r="D17" s="55" t="inlineStr">
        <is>
          <t>1Y 1.5% → 0.9852</t>
        </is>
      </c>
    </row>
    <row r="18">
      <c r="A18" s="55" t="inlineStr">
        <is>
          <t>r_t</t>
        </is>
      </c>
      <c r="B18" s="55" t="inlineStr">
        <is>
          <t>期限 t 的利率 (国债收益率)</t>
        </is>
      </c>
      <c r="C18" s="55" t="inlineStr">
        <is>
          <t>% (年化)</t>
        </is>
      </c>
      <c r="D18" s="55" t="inlineStr">
        <is>
          <t>1.3372 (1Y)</t>
        </is>
      </c>
    </row>
    <row r="19">
      <c r="A19" s="55" t="inlineStr">
        <is>
          <t>t</t>
        </is>
      </c>
      <c r="B19" s="55" t="inlineStr">
        <is>
          <t>期限</t>
        </is>
      </c>
      <c r="C19" s="55" t="inlineStr">
        <is>
          <t>年</t>
        </is>
      </c>
      <c r="D19" s="55" t="inlineStr">
        <is>
          <t>1.0 (1Y), 0.0833 (1M), 30.0 (30Y)</t>
        </is>
      </c>
    </row>
    <row r="21">
      <c r="A21" s="56" t="inlineStr">
        <is>
          <t>2.2 现值 (Present Value)</t>
        </is>
      </c>
    </row>
    <row r="22">
      <c r="A22" s="57" t="inlineStr">
        <is>
          <t>公式:  PV = Σ CF_t × DF_t = Σ CF_t / (1 + r_t)^t</t>
        </is>
      </c>
    </row>
    <row r="23" ht="22" customHeight="1">
      <c r="A23" s="42" t="inlineStr">
        <is>
          <t>变量</t>
        </is>
      </c>
      <c r="B23" s="42" t="inlineStr">
        <is>
          <t>含义</t>
        </is>
      </c>
      <c r="C23" s="42" t="inlineStr">
        <is>
          <t>单位</t>
        </is>
      </c>
      <c r="D23" s="42" t="inlineStr">
        <is>
          <t>示例</t>
        </is>
      </c>
    </row>
    <row r="24">
      <c r="A24" s="55" t="inlineStr">
        <is>
          <t>PV</t>
        </is>
      </c>
      <c r="B24" s="55" t="inlineStr">
        <is>
          <t>总现值</t>
        </is>
      </c>
      <c r="C24" s="55" t="inlineStr">
        <is>
          <t>元</t>
        </is>
      </c>
      <c r="D24" s="55" t="inlineStr">
        <is>
          <t>R7 ≈ 12.96 万亿元</t>
        </is>
      </c>
    </row>
    <row r="25">
      <c r="A25" s="55" t="inlineStr">
        <is>
          <t>CF_t</t>
        </is>
      </c>
      <c r="B25" s="55" t="inlineStr">
        <is>
          <t>期限 t 的现金流</t>
        </is>
      </c>
      <c r="C25" s="55" t="inlineStr">
        <is>
          <t>元</t>
        </is>
      </c>
      <c r="D25" s="55" t="inlineStr">
        <is>
          <t>1M: 2.45 万亿</t>
        </is>
      </c>
    </row>
    <row r="26">
      <c r="A26" s="55" t="inlineStr">
        <is>
          <t>DF_t</t>
        </is>
      </c>
      <c r="B26" s="55" t="inlineStr">
        <is>
          <t>期限 t 的折现因子</t>
        </is>
      </c>
      <c r="C26" s="55" t="inlineStr">
        <is>
          <t>无量纲</t>
        </is>
      </c>
      <c r="D26" s="55" t="inlineStr">
        <is>
          <t>1Y 1.34% → 0.9868</t>
        </is>
      </c>
    </row>
    <row r="28">
      <c r="A28" s="56" t="inlineStr">
        <is>
          <t>2.3 期限单位转换</t>
        </is>
      </c>
    </row>
    <row r="29" ht="22" customHeight="1">
      <c r="A29" s="42" t="inlineStr">
        <is>
          <t>单位</t>
        </is>
      </c>
      <c r="B29" s="42" t="inlineStr">
        <is>
          <t>换算公式</t>
        </is>
      </c>
      <c r="C29" s="42" t="inlineStr">
        <is>
          <t>示例</t>
        </is>
      </c>
      <c r="D29" s="42" t="inlineStr">
        <is>
          <t>实际值</t>
        </is>
      </c>
    </row>
    <row r="30">
      <c r="A30" s="55" t="inlineStr">
        <is>
          <t>日 (D)</t>
        </is>
      </c>
      <c r="B30" s="55" t="inlineStr">
        <is>
          <t>1D = 1/365 年</t>
        </is>
      </c>
      <c r="C30" s="55" t="inlineStr">
        <is>
          <t>30D</t>
        </is>
      </c>
      <c r="D30" s="55" t="inlineStr">
        <is>
          <t>30/365 = 0.0822 年</t>
        </is>
      </c>
    </row>
    <row r="31">
      <c r="A31" s="55" t="inlineStr">
        <is>
          <t>月 (M)</t>
        </is>
      </c>
      <c r="B31" s="55" t="inlineStr">
        <is>
          <t>1M = 1/12 年</t>
        </is>
      </c>
      <c r="C31" s="55" t="inlineStr">
        <is>
          <t>3M</t>
        </is>
      </c>
      <c r="D31" s="55" t="inlineStr">
        <is>
          <t>3/12 = 0.25 年</t>
        </is>
      </c>
    </row>
    <row r="32">
      <c r="A32" s="55" t="inlineStr">
        <is>
          <t>年 (Y)</t>
        </is>
      </c>
      <c r="B32" s="55" t="inlineStr">
        <is>
          <t>1Y = 1 年</t>
        </is>
      </c>
      <c r="C32" s="55" t="inlineStr">
        <is>
          <t>5Y</t>
        </is>
      </c>
      <c r="D32" s="55" t="inlineStr">
        <is>
          <t>5.0 年</t>
        </is>
      </c>
    </row>
    <row r="33">
      <c r="A33" s="55" t="inlineStr">
        <is>
          <t>年 (复合)</t>
        </is>
      </c>
      <c r="B33" s="55" t="inlineStr">
        <is>
          <t>mY = m 年, nM = n*30/365 年</t>
        </is>
      </c>
      <c r="C33" s="55" t="inlineStr">
        <is>
          <t>60M + 5Y</t>
        </is>
      </c>
      <c r="D33" s="55" t="inlineStr">
        <is>
          <t>5 + 60/12 = 10 年</t>
        </is>
      </c>
    </row>
    <row r="35">
      <c r="A35" s="54" t="inlineStr">
        <is>
          <t>三、曲线插值方法 (本表使用线性插值)</t>
        </is>
      </c>
    </row>
    <row r="36">
      <c r="A36" s="56" t="inlineStr">
        <is>
          <t>3.1 已知曲线点 (2025-12-31 国债收益率, 来源中债登)</t>
        </is>
      </c>
    </row>
    <row r="37">
      <c r="A37" s="58" t="inlineStr">
        <is>
          <t>R47-R111: 国债收益率曲线表 (10 个中债登官方期限 + 54 个线性插值期限, 共 64 段位)</t>
        </is>
      </c>
    </row>
    <row r="38" ht="22" customHeight="1">
      <c r="A38" s="42" t="inlineStr">
        <is>
          <t>期限</t>
        </is>
      </c>
      <c r="B38" s="42" t="inlineStr">
        <is>
          <t>利率(%)</t>
        </is>
      </c>
      <c r="C38" s="42" t="inlineStr">
        <is>
          <t>来源</t>
        </is>
      </c>
      <c r="D38" s="42" t="inlineStr">
        <is>
          <t>说明</t>
        </is>
      </c>
    </row>
    <row r="39">
      <c r="A39" s="59" t="inlineStr">
        <is>
          <t>3M</t>
        </is>
      </c>
      <c r="B39" s="59" t="inlineStr">
        <is>
          <t>1.27</t>
        </is>
      </c>
      <c r="C39" s="60" t="inlineStr">
        <is>
          <t>中债登</t>
        </is>
      </c>
      <c r="D39" s="59" t="inlineStr">
        <is>
          <t>官方数据</t>
        </is>
      </c>
    </row>
    <row r="40">
      <c r="A40" s="59" t="inlineStr">
        <is>
          <t>6M</t>
        </is>
      </c>
      <c r="B40" s="59" t="inlineStr">
        <is>
          <t>1.30</t>
        </is>
      </c>
      <c r="C40" s="60" t="inlineStr">
        <is>
          <t>中债登</t>
        </is>
      </c>
      <c r="D40" s="59" t="inlineStr">
        <is>
          <t>官方数据</t>
        </is>
      </c>
    </row>
    <row r="41">
      <c r="A41" s="59" t="inlineStr">
        <is>
          <t>9M</t>
        </is>
      </c>
      <c r="B41" s="59" t="inlineStr">
        <is>
          <t>1.32</t>
        </is>
      </c>
      <c r="C41" s="60" t="inlineStr">
        <is>
          <t>中债登</t>
        </is>
      </c>
      <c r="D41" s="59" t="inlineStr">
        <is>
          <t>官方数据</t>
        </is>
      </c>
    </row>
    <row r="42">
      <c r="A42" s="59" t="inlineStr">
        <is>
          <t>1Y</t>
        </is>
      </c>
      <c r="B42" s="59" t="inlineStr">
        <is>
          <t>1.3372</t>
        </is>
      </c>
      <c r="C42" s="60" t="inlineStr">
        <is>
          <t>中债登</t>
        </is>
      </c>
      <c r="D42" s="59" t="inlineStr">
        <is>
          <t>官方数据</t>
        </is>
      </c>
    </row>
    <row r="43">
      <c r="A43" s="59" t="inlineStr">
        <is>
          <t>2Y</t>
        </is>
      </c>
      <c r="B43" s="59" t="inlineStr">
        <is>
          <t>1.3605</t>
        </is>
      </c>
      <c r="C43" s="60" t="inlineStr">
        <is>
          <t>中债登</t>
        </is>
      </c>
      <c r="D43" s="59" t="inlineStr">
        <is>
          <t>官方数据</t>
        </is>
      </c>
    </row>
    <row r="44">
      <c r="A44" s="59" t="inlineStr">
        <is>
          <t>3Y</t>
        </is>
      </c>
      <c r="B44" s="59" t="inlineStr">
        <is>
          <t>1.3830</t>
        </is>
      </c>
      <c r="C44" s="60" t="inlineStr">
        <is>
          <t>中债登</t>
        </is>
      </c>
      <c r="D44" s="59" t="inlineStr">
        <is>
          <t>官方数据</t>
        </is>
      </c>
    </row>
    <row r="45">
      <c r="A45" s="59" t="inlineStr">
        <is>
          <t>5Y</t>
        </is>
      </c>
      <c r="B45" s="59" t="inlineStr">
        <is>
          <t>1.6309</t>
        </is>
      </c>
      <c r="C45" s="60" t="inlineStr">
        <is>
          <t>中债登</t>
        </is>
      </c>
      <c r="D45" s="59" t="inlineStr">
        <is>
          <t>官方数据</t>
        </is>
      </c>
    </row>
    <row r="46">
      <c r="A46" s="59" t="inlineStr">
        <is>
          <t>7Y</t>
        </is>
      </c>
      <c r="B46" s="59" t="inlineStr">
        <is>
          <t>1.7359</t>
        </is>
      </c>
      <c r="C46" s="60" t="inlineStr">
        <is>
          <t>中债登</t>
        </is>
      </c>
      <c r="D46" s="59" t="inlineStr">
        <is>
          <t>官方数据</t>
        </is>
      </c>
    </row>
    <row r="47">
      <c r="A47" s="59" t="inlineStr">
        <is>
          <t>10Y</t>
        </is>
      </c>
      <c r="B47" s="59" t="inlineStr">
        <is>
          <t>1.8473</t>
        </is>
      </c>
      <c r="C47" s="60" t="inlineStr">
        <is>
          <t>中债登</t>
        </is>
      </c>
      <c r="D47" s="59" t="inlineStr">
        <is>
          <t>官方数据</t>
        </is>
      </c>
    </row>
    <row r="48">
      <c r="A48" s="59" t="inlineStr">
        <is>
          <t>30Y</t>
        </is>
      </c>
      <c r="B48" s="59" t="inlineStr">
        <is>
          <t>2.2674</t>
        </is>
      </c>
      <c r="C48" s="60" t="inlineStr">
        <is>
          <t>中债登</t>
        </is>
      </c>
      <c r="D48" s="59" t="inlineStr">
        <is>
          <t>官方数据</t>
        </is>
      </c>
    </row>
    <row r="50">
      <c r="A50" s="56" t="inlineStr">
        <is>
          <t>3.2 线性插值公式 (Linear Interpolation)</t>
        </is>
      </c>
    </row>
    <row r="51">
      <c r="A51" s="57" t="inlineStr">
        <is>
          <t>公式:  r(t) = r_lo + (r_hi - r_lo) × (t - t_lo) / (t_hi - t_lo)</t>
        </is>
      </c>
    </row>
    <row r="52" ht="22" customHeight="1">
      <c r="A52" s="42" t="inlineStr">
        <is>
          <t>变量</t>
        </is>
      </c>
      <c r="B52" s="42" t="inlineStr">
        <is>
          <t>含义</t>
        </is>
      </c>
    </row>
    <row r="53">
      <c r="A53" s="55" t="inlineStr">
        <is>
          <t>r(t)</t>
        </is>
      </c>
      <c r="B53" s="55" t="inlineStr">
        <is>
          <t>期限 t 的插值利率 (%)</t>
        </is>
      </c>
    </row>
    <row r="54">
      <c r="A54" s="55" t="inlineStr">
        <is>
          <t>r_lo, r_hi</t>
        </is>
      </c>
      <c r="B54" s="55" t="inlineStr">
        <is>
          <t>相邻已知曲线点的利率 (%)</t>
        </is>
      </c>
    </row>
    <row r="55">
      <c r="A55" s="55" t="inlineStr">
        <is>
          <t>t_lo, t_hi</t>
        </is>
      </c>
      <c r="B55" s="55" t="inlineStr">
        <is>
          <t>相邻已知曲线点的期限 (年)</t>
        </is>
      </c>
    </row>
    <row r="56">
      <c r="A56" s="55" t="inlineStr">
        <is>
          <t>t</t>
        </is>
      </c>
      <c r="B56" s="55" t="inlineStr">
        <is>
          <t>目标期限 (年)</t>
        </is>
      </c>
    </row>
    <row r="57">
      <c r="A57" s="55" t="inlineStr">
        <is>
          <t>约束</t>
        </is>
      </c>
      <c r="B57" s="55" t="inlineStr">
        <is>
          <t>t_lo ≤ t ≤ t_hi (在线性段内), 超出范围线性外推</t>
        </is>
      </c>
    </row>
    <row r="59">
      <c r="A59" s="61" t="inlineStr">
        <is>
          <t>插值示例: 18M (1.5 年)</t>
        </is>
      </c>
    </row>
    <row r="60">
      <c r="A60" s="62" t="inlineStr">
        <is>
          <t>r(1.5) = 1.3372 + (1.3605 - 1.3372) × (1.5 - 1.0) / (2.0 - 1.0) = 1.3372 + 0.0117 = 1.34885</t>
        </is>
      </c>
    </row>
    <row r="62">
      <c r="A62" s="54" t="inlineStr">
        <is>
          <t>四、计量流程 (单条现金流)</t>
        </is>
      </c>
    </row>
    <row r="63" ht="22" customHeight="1">
      <c r="A63" s="42" t="inlineStr">
        <is>
          <t>步骤</t>
        </is>
      </c>
      <c r="B63" s="42" t="inlineStr">
        <is>
          <t>操作</t>
        </is>
      </c>
      <c r="C63" s="42" t="inlineStr">
        <is>
          <t>公式</t>
        </is>
      </c>
      <c r="D63" s="42" t="inlineStr">
        <is>
          <t>示例</t>
        </is>
      </c>
    </row>
    <row r="64">
      <c r="A64" s="63" t="inlineStr">
        <is>
          <t>1</t>
        </is>
      </c>
      <c r="B64" s="64" t="inlineStr">
        <is>
          <t>期限 → 年数</t>
        </is>
      </c>
      <c r="C64" s="55" t="inlineStr">
        <is>
          <t>t = tenor_to_years("3M")</t>
        </is>
      </c>
      <c r="D64" s="63" t="inlineStr">
        <is>
          <t>3M → 0.25 年</t>
        </is>
      </c>
    </row>
    <row r="65">
      <c r="A65" s="63" t="inlineStr">
        <is>
          <t>2</t>
        </is>
      </c>
      <c r="B65" s="65" t="inlineStr">
        <is>
          <t>插值 → 利率</t>
        </is>
      </c>
      <c r="C65" s="55" t="inlineStr">
        <is>
          <t>r_t = INTERP(curve, t)</t>
        </is>
      </c>
      <c r="D65" s="63" t="inlineStr">
        <is>
          <t>0.25 年 → 1.27%</t>
        </is>
      </c>
    </row>
    <row r="66">
      <c r="A66" s="63" t="inlineStr">
        <is>
          <t>3</t>
        </is>
      </c>
      <c r="B66" s="65" t="inlineStr">
        <is>
          <t>计算折现因子</t>
        </is>
      </c>
      <c r="C66" s="55" t="inlineStr">
        <is>
          <t>DF_t = 1/(1+r_t)^t</t>
        </is>
      </c>
      <c r="D66" s="63" t="inlineStr">
        <is>
          <t>1.27% 0.25年 → 0.99685</t>
        </is>
      </c>
    </row>
    <row r="67">
      <c r="A67" s="63" t="inlineStr">
        <is>
          <t>4</t>
        </is>
      </c>
      <c r="B67" s="65" t="inlineStr">
        <is>
          <t>计算现值</t>
        </is>
      </c>
      <c r="C67" s="55" t="inlineStr">
        <is>
          <t>PV = CF × DF_t</t>
        </is>
      </c>
      <c r="D67" s="63" t="inlineStr">
        <is>
          <t>573.3亿 × 0.99685 = 571.5亿</t>
        </is>
      </c>
    </row>
    <row r="68">
      <c r="A68" s="63" t="inlineStr">
        <is>
          <t>5</t>
        </is>
      </c>
      <c r="B68" s="64" t="inlineStr">
        <is>
          <t>汇总 (批量)</t>
        </is>
      </c>
      <c r="C68" s="55" t="inlineStr">
        <is>
          <t>PV_total = Σ PV_t</t>
        </is>
      </c>
      <c r="D68" s="63" t="inlineStr">
        <is>
          <t>R7 = 12.96 万亿</t>
        </is>
      </c>
    </row>
    <row r="70">
      <c r="A70" s="54" t="inlineStr">
        <is>
          <t>五、本表 (prcp_basic_20251231_v4.xlsx) 的具体应用</t>
        </is>
      </c>
    </row>
    <row r="71">
      <c r="A71" s="56" t="inlineStr">
        <is>
          <t>5.1 工作表结构</t>
        </is>
      </c>
    </row>
    <row r="72" ht="22" customHeight="1">
      <c r="A72" s="42" t="inlineStr">
        <is>
          <t>行/列</t>
        </is>
      </c>
      <c r="B72" s="42" t="inlineStr">
        <is>
          <t>内容</t>
        </is>
      </c>
      <c r="C72" s="42" t="inlineStr">
        <is>
          <t>公式类型</t>
        </is>
      </c>
      <c r="D72" s="42" t="inlineStr">
        <is>
          <t>示例</t>
        </is>
      </c>
    </row>
    <row r="73">
      <c r="A73" s="55" t="inlineStr">
        <is>
          <t>R3-R43</t>
        </is>
      </c>
      <c r="B73" s="55" t="inlineStr">
        <is>
          <t>38 个账户册数据</t>
        </is>
      </c>
      <c r="C73" s="55" t="inlineStr">
        <is>
          <t>基础数据</t>
        </is>
      </c>
      <c r="D73" s="55" t="inlineStr">
        <is>
          <t>总资产/总负债/各分项</t>
        </is>
      </c>
    </row>
    <row r="74">
      <c r="A74" s="55" t="inlineStr">
        <is>
          <t>C11 (K列)</t>
        </is>
      </c>
      <c r="B74" s="55" t="inlineStr">
        <is>
          <t>现值 (38 账户)</t>
        </is>
      </c>
      <c r="C74" s="55">
        <f>Σ CF×DF (数值)</f>
        <v/>
      </c>
      <c r="D74" s="55" t="inlineStr">
        <is>
          <t>R7 = 129,571 亿</t>
        </is>
      </c>
    </row>
    <row r="75">
      <c r="A75" s="55" t="inlineStr">
        <is>
          <t>C12 (L列)</t>
        </is>
      </c>
      <c r="B75" s="55" t="inlineStr">
        <is>
          <t>现值审计公式</t>
        </is>
      </c>
      <c r="C75" s="55">
        <f>Σ C×B (公式)</f>
        <v/>
      </c>
      <c r="D75" s="55" t="inlineStr">
        <is>
          <t>60+4 项乘法</t>
        </is>
      </c>
    </row>
    <row r="76">
      <c r="A76" s="55" t="inlineStr">
        <is>
          <t>R47-R111</t>
        </is>
      </c>
      <c r="B76" s="55" t="inlineStr">
        <is>
          <t>国债收益率曲线</t>
        </is>
      </c>
      <c r="C76" s="55" t="inlineStr">
        <is>
          <t>64 段位数值</t>
        </is>
      </c>
      <c r="D76" s="55" t="inlineStr">
        <is>
          <t>3M=1.27, 10Y=1.85</t>
        </is>
      </c>
    </row>
    <row r="77">
      <c r="A77" s="55" t="inlineStr">
        <is>
          <t>R114-R173</t>
        </is>
      </c>
      <c r="B77" s="55" t="inlineStr">
        <is>
          <t>60 月度折现因子</t>
        </is>
      </c>
      <c r="C77" s="55">
        <f>1/(1+B48)^(m/12)</f>
        <v/>
      </c>
      <c r="D77" s="55" t="inlineStr">
        <is>
          <t>DF_1M=0.9989</t>
        </is>
      </c>
    </row>
    <row r="78">
      <c r="A78" s="55" t="inlineStr">
        <is>
          <t>R175-R178</t>
        </is>
      </c>
      <c r="B78" s="55" t="inlineStr">
        <is>
          <t>4 年度折现因子</t>
        </is>
      </c>
      <c r="C78" s="55">
        <f>1/(1+B108)^(10/15/20/30)</f>
        <v/>
      </c>
      <c r="D78" s="55" t="inlineStr">
        <is>
          <t>DF_10Y=0.8327</t>
        </is>
      </c>
    </row>
    <row r="80">
      <c r="A80" s="56" t="inlineStr">
        <is>
          <t>5.2 折现因子公式 (B114-B178)</t>
        </is>
      </c>
    </row>
    <row r="81">
      <c r="A81" s="66" t="inlineStr">
        <is>
          <t>月度 (B114-B173):  =1/(1+B$48)^(1/12) ~ =1/(1+B$107)^(60/12)</t>
        </is>
      </c>
    </row>
    <row r="82">
      <c r="A82" s="66" t="inlineStr">
        <is>
          <t>年度 (B175-B178):  =1/(1+B$108)^10 ~ =1/(1+B$111)^30</t>
        </is>
      </c>
    </row>
    <row r="84">
      <c r="A84" s="56" t="inlineStr">
        <is>
          <t>5.3 案例: R7 (1.1.对公一般贷款) 折现计算</t>
        </is>
      </c>
    </row>
    <row r="85" ht="22" customHeight="1">
      <c r="A85" s="42" t="inlineStr">
        <is>
          <t>项</t>
        </is>
      </c>
      <c r="B85" s="42" t="inlineStr">
        <is>
          <t>数值/说明</t>
        </is>
      </c>
    </row>
    <row r="86">
      <c r="A86" s="55" t="inlineStr">
        <is>
          <t>账户</t>
        </is>
      </c>
      <c r="B86" s="55" t="inlineStr">
        <is>
          <t>1.1.对公一般贷款</t>
        </is>
      </c>
    </row>
    <row r="87">
      <c r="A87" s="55" t="inlineStr">
        <is>
          <t>现金流条数</t>
        </is>
      </c>
      <c r="B87" s="55" t="inlineStr">
        <is>
          <t>15 条 (1M-12M + 15Y/20Y/30Y)</t>
        </is>
      </c>
    </row>
    <row r="88">
      <c r="A88" s="55" t="inlineStr">
        <is>
          <t>数据日期</t>
        </is>
      </c>
      <c r="B88" s="55" t="inlineStr">
        <is>
          <t>2025-12-31</t>
        </is>
      </c>
    </row>
    <row r="89">
      <c r="A89" s="55" t="inlineStr">
        <is>
          <t>插值方法</t>
        </is>
      </c>
      <c r="B89" s="55" t="inlineStr">
        <is>
          <t>线性 (linear)</t>
        </is>
      </c>
    </row>
    <row r="90">
      <c r="A90" s="55" t="inlineStr">
        <is>
          <t>复利方式</t>
        </is>
      </c>
      <c r="B90" s="55" t="inlineStr">
        <is>
          <t>年复利 (annual)</t>
        </is>
      </c>
    </row>
    <row r="91">
      <c r="A91" s="55" t="inlineStr">
        <is>
          <t>1M 现金流</t>
        </is>
      </c>
      <c r="B91" s="55" t="inlineStr">
        <is>
          <t>2,450 亿元</t>
        </is>
      </c>
    </row>
    <row r="92">
      <c r="A92" s="55" t="inlineStr">
        <is>
          <t>1M 折现因子</t>
        </is>
      </c>
      <c r="B92" s="55" t="inlineStr">
        <is>
          <t>0.9989 (1.27% 1/12 年)</t>
        </is>
      </c>
    </row>
    <row r="93">
      <c r="A93" s="55" t="inlineStr">
        <is>
          <t>1M 现值</t>
        </is>
      </c>
      <c r="B93" s="55" t="inlineStr">
        <is>
          <t>2,447.5 亿元</t>
        </is>
      </c>
    </row>
    <row r="94">
      <c r="A94" s="55" t="inlineStr">
        <is>
          <t>15Y 现金流</t>
        </is>
      </c>
      <c r="B94" s="55" t="inlineStr">
        <is>
          <t>30,625 亿元</t>
        </is>
      </c>
    </row>
    <row r="95">
      <c r="A95" s="55" t="inlineStr">
        <is>
          <t>15Y 折现因子</t>
        </is>
      </c>
      <c r="B95" s="55" t="inlineStr">
        <is>
          <t>0.7482 (1.95% 15 年)</t>
        </is>
      </c>
    </row>
    <row r="96">
      <c r="A96" s="55" t="inlineStr">
        <is>
          <t>15Y 现值</t>
        </is>
      </c>
      <c r="B96" s="55" t="inlineStr">
        <is>
          <t>22,915 亿元</t>
        </is>
      </c>
    </row>
    <row r="97">
      <c r="A97" s="55" t="inlineStr">
        <is>
          <t>总现值</t>
        </is>
      </c>
      <c r="B97" s="55" t="inlineStr">
        <is>
          <t>124,065 亿元 (用 10 关键点), 129,571 亿元 (用 64 段位, 写于 K 列)</t>
        </is>
      </c>
    </row>
    <row r="99">
      <c r="A99" s="54" t="inlineStr">
        <is>
          <t>六、注意事项</t>
        </is>
      </c>
    </row>
    <row r="100" ht="22" customHeight="1">
      <c r="A100" s="42" t="inlineStr">
        <is>
          <t>序号</t>
        </is>
      </c>
      <c r="B100" s="42" t="inlineStr">
        <is>
          <t>注意事项</t>
        </is>
      </c>
    </row>
    <row r="101">
      <c r="A101" s="55" t="inlineStr">
        <is>
          <t>1</t>
        </is>
      </c>
      <c r="B101" s="55" t="inlineStr">
        <is>
          <t>WPS 打开后 K 列 (现值) 已直接写数值, 不依赖公式计算</t>
        </is>
      </c>
    </row>
    <row r="102">
      <c r="A102" s="55" t="inlineStr">
        <is>
          <t>2</t>
        </is>
      </c>
      <c r="B102" s="55" t="inlineStr">
        <is>
          <t>B114-B178 折现因子是公式, 修改 B48-B111 收益率后自动重算</t>
        </is>
      </c>
    </row>
    <row r="103">
      <c r="A103" s="55" t="inlineStr">
        <is>
          <t>3</t>
        </is>
      </c>
      <c r="B103" s="55" t="inlineStr">
        <is>
          <t>WPS 打开后建议按 Ctrl+Alt+F9 强制重算所有公式</t>
        </is>
      </c>
    </row>
    <row r="104">
      <c r="A104" s="55" t="inlineStr">
        <is>
          <t>4</t>
        </is>
      </c>
      <c r="B104" s="55" t="inlineStr">
        <is>
          <t>1 年 = 365 日, 1 月 = 1/12 年, 单位换算固定</t>
        </is>
      </c>
    </row>
    <row r="105">
      <c r="A105" s="55" t="inlineStr">
        <is>
          <t>5</t>
        </is>
      </c>
      <c r="B105" s="55" t="inlineStr">
        <is>
          <t>超出曲线范围的期限会线性外推, 需谨慎使用</t>
        </is>
      </c>
    </row>
    <row r="106">
      <c r="A106" s="55" t="inlineStr">
        <is>
          <t>6</t>
        </is>
      </c>
      <c r="B106" s="55" t="inlineStr">
        <is>
          <t>折现只考虑时间价值, 不考虑信用风险/流动性风险等其他调整</t>
        </is>
      </c>
    </row>
    <row r="107">
      <c r="A107" s="55" t="inlineStr">
        <is>
          <t>7</t>
        </is>
      </c>
      <c r="B107" s="55" t="inlineStr">
        <is>
          <t>本表采用年复利, 若需连续复利或月度复利, 可调整 discount_factor 函数</t>
        </is>
      </c>
    </row>
    <row r="108">
      <c r="A108" s="55" t="inlineStr">
        <is>
          <t>8</t>
        </is>
      </c>
      <c r="B108" s="55" t="inlineStr">
        <is>
          <t>K 列是数值, L 列是公式 (审计用), 修改 L 列公式不影响 K 列</t>
        </is>
      </c>
    </row>
    <row r="110">
      <c r="A110" s="54" t="inlineStr">
        <is>
          <t>七、参考文档</t>
        </is>
      </c>
    </row>
    <row r="111" ht="22" customHeight="1">
      <c r="A111" s="42" t="inlineStr">
        <is>
          <t>文档</t>
        </is>
      </c>
      <c r="B111" s="42" t="inlineStr">
        <is>
          <t>路径</t>
        </is>
      </c>
      <c r="C111" s="42" t="inlineStr">
        <is>
          <t>用途</t>
        </is>
      </c>
    </row>
    <row r="112">
      <c r="A112" s="55" t="inlineStr">
        <is>
          <t>数据表 (本表)</t>
        </is>
      </c>
      <c r="B112" s="55" t="inlineStr">
        <is>
          <t>docs/v2/prcp_basic_20251231_v4.xlsx</t>
        </is>
      </c>
      <c r="C112" s="55" t="inlineStr">
        <is>
          <t>基础数据 + 折现结果</t>
        </is>
      </c>
    </row>
    <row r="113">
      <c r="A113" s="55" t="inlineStr">
        <is>
          <t>折现工具脚本</t>
        </is>
      </c>
      <c r="B113" s="55" t="inlineStr">
        <is>
          <t>docs/discount_tool.py</t>
        </is>
      </c>
      <c r="C113" s="55" t="inlineStr">
        <is>
          <t>工具类 (TenorUnit/parse_tenor/折现因子/批量折现)</t>
        </is>
      </c>
    </row>
    <row r="114">
      <c r="A114" s="55" t="inlineStr">
        <is>
          <t>测试脚本</t>
        </is>
      </c>
      <c r="B114" s="55" t="inlineStr">
        <is>
          <t>docs/test_discount_tool.py</t>
        </is>
      </c>
      <c r="C114" s="55" t="inlineStr">
        <is>
          <t>59 个测试用例</t>
        </is>
      </c>
    </row>
    <row r="115">
      <c r="A115" s="55" t="inlineStr">
        <is>
          <t>生成脚本</t>
        </is>
      </c>
      <c r="B115" s="55" t="inlineStr">
        <is>
          <t>docs/build_yield_curve.py</t>
        </is>
      </c>
      <c r="C115" s="55" t="inlineStr">
        <is>
          <t>生成 R47-R111 收益率曲线</t>
        </is>
      </c>
    </row>
    <row r="116">
      <c r="A116" s="55" t="inlineStr">
        <is>
          <t>生成脚本</t>
        </is>
      </c>
      <c r="B116" s="55" t="inlineStr">
        <is>
          <t>docs/build_pv_v6.py</t>
        </is>
      </c>
      <c r="C116" s="55" t="inlineStr">
        <is>
          <t>生成 B112-B178 折现因子 + K 列 PV</t>
        </is>
      </c>
    </row>
  </sheetData>
  <mergeCells count="26">
    <mergeCell ref="A22:D22"/>
    <mergeCell ref="A35:D35"/>
    <mergeCell ref="A4:D4"/>
    <mergeCell ref="A62:D62"/>
    <mergeCell ref="A81:D81"/>
    <mergeCell ref="A28:D28"/>
    <mergeCell ref="A13:D13"/>
    <mergeCell ref="A15:D15"/>
    <mergeCell ref="A59:D59"/>
    <mergeCell ref="A82:D82"/>
    <mergeCell ref="A51:D51"/>
    <mergeCell ref="A60:D60"/>
    <mergeCell ref="A36:D36"/>
    <mergeCell ref="A1:D1"/>
    <mergeCell ref="A70:D70"/>
    <mergeCell ref="A110:D110"/>
    <mergeCell ref="A99:D99"/>
    <mergeCell ref="A84:D84"/>
    <mergeCell ref="A80:D80"/>
    <mergeCell ref="A37:D37"/>
    <mergeCell ref="A12:D12"/>
    <mergeCell ref="A50:D50"/>
    <mergeCell ref="A21:D21"/>
    <mergeCell ref="A2:D2"/>
    <mergeCell ref="A71:D7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2026-09-24T02:09:00Z</dcterms:created>
  <dcterms:modified xsi:type="dcterms:W3CDTF">2026-10-11T01:46:17Z</dcterms:modified>
  <cp:lastModifiedBy>张行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67101CA62ECE4E33A41CF542667E7343_12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