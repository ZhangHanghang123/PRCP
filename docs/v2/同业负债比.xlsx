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业负债比项目明细" sheetId="1" state="visible" r:id="rId1"/>
    <sheet xmlns:r="http://schemas.openxmlformats.org/officeDocument/2006/relationships" name="同业负债比计算" sheetId="2" state="visible" r:id="rId2"/>
    <sheet xmlns:r="http://schemas.openxmlformats.org/officeDocument/2006/relationships" name="折算依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&quot;pp&quot;"/>
  </numFmts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B5E20"/>
      <sz val="10"/>
    </font>
    <font>
      <name val="微软雅黑"/>
      <b val="1"/>
      <color rgb="00C7000B"/>
      <sz val="11"/>
    </font>
    <font>
      <name val="微软雅黑"/>
      <b val="1"/>
      <sz val="11"/>
    </font>
    <font>
      <name val="微软雅黑"/>
      <b val="1"/>
      <color rgb="00FFFFFF"/>
      <sz val="12"/>
    </font>
    <font>
      <name val="微软雅黑"/>
      <b val="1"/>
      <color rgb="00C7000B"/>
      <sz val="14"/>
    </font>
    <font>
      <name val="微软雅黑"/>
      <b val="1"/>
      <color rgb="00C7000B"/>
      <sz val="12"/>
    </font>
  </fonts>
  <fills count="8">
    <fill>
      <patternFill/>
    </fill>
    <fill>
      <patternFill patternType="gray125"/>
    </fill>
    <fill>
      <patternFill patternType="solid">
        <fgColor rgb="00C7000B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E082"/>
      </patternFill>
    </fill>
    <fill>
      <patternFill patternType="solid">
        <fgColor rgb="00FFF3E0"/>
      </patternFill>
    </fill>
    <fill>
      <patternFill patternType="solid">
        <fgColor rgb="00FFCDD2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0" borderId="1" pivotButton="0" quotePrefix="0" xfId="0"/>
    <xf numFmtId="0" fontId="6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4" fontId="4" fillId="0" borderId="1" pivotButton="0" quotePrefix="0" xfId="0"/>
    <xf numFmtId="0" fontId="7" fillId="5" borderId="1" pivotButton="0" quotePrefix="0" xfId="0"/>
    <xf numFmtId="4" fontId="7" fillId="5" borderId="1" pivotButton="0" quotePrefix="0" xfId="0"/>
    <xf numFmtId="0" fontId="4" fillId="5" borderId="1" pivotButton="0" quotePrefix="0" xfId="0"/>
    <xf numFmtId="0" fontId="10" fillId="5" borderId="1" pivotButton="0" quotePrefix="0" xfId="0"/>
    <xf numFmtId="0" fontId="8" fillId="2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7" borderId="1" pivotButton="0" quotePrefix="0" xfId="0"/>
    <xf numFmtId="0" fontId="7" fillId="4" borderId="1" pivotButton="0" quotePrefix="0" xfId="0"/>
    <xf numFmtId="165" fontId="4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22" customWidth="1" min="4" max="4"/>
    <col width="12" customWidth="1" min="5" max="5"/>
    <col width="18" customWidth="1" min="6" max="6"/>
    <col width="22" customWidth="1" min="7" max="7"/>
    <col width="50" customWidth="1" min="8" max="8"/>
  </cols>
  <sheetData>
    <row r="1" ht="30" customHeight="1">
      <c r="A1" s="1" t="inlineStr">
        <is>
          <t>中信银行 同业负债比 计量模版（项目明细）</t>
        </is>
      </c>
    </row>
    <row r="2" ht="22" customHeight="1">
      <c r="A2" s="2" t="inlineStr">
        <is>
          <t>公式: 同业负债比 = 同业负债 / 总负债 | 分子: 货币市场同业拆入+债券回购+NCD+同业存款+票据转贴现 | 分母: 24 项负债之和 | 监管红线 ≤ 33.33%</t>
        </is>
      </c>
    </row>
    <row r="4" ht="32" customHeight="1">
      <c r="A4" s="3" t="inlineStr">
        <is>
          <t>项目序号</t>
        </is>
      </c>
      <c r="B4" s="3" t="inlineStr">
        <is>
          <t>项目名称</t>
        </is>
      </c>
      <c r="C4" s="3" t="inlineStr">
        <is>
          <t>是否末级节点</t>
        </is>
      </c>
      <c r="D4" s="3" t="inlineStr">
        <is>
          <t>当前余额（人民币元）</t>
        </is>
      </c>
      <c r="E4" s="3" t="inlineStr">
        <is>
          <t>是否同业负债</t>
        </is>
      </c>
      <c r="F4" s="3" t="inlineStr">
        <is>
          <t>同业负债折算系数</t>
        </is>
      </c>
      <c r="G4" s="3" t="inlineStr">
        <is>
          <t>计入同业负债额</t>
        </is>
      </c>
      <c r="H4" s="3" t="inlineStr">
        <is>
          <t>IBL 规则说明</t>
        </is>
      </c>
    </row>
    <row r="5">
      <c r="A5" s="4" t="inlineStr">
        <is>
          <t>S010000000000</t>
        </is>
      </c>
      <c r="B5" s="5" t="inlineStr">
        <is>
          <t>总资产</t>
        </is>
      </c>
      <c r="C5" s="6" t="inlineStr">
        <is>
          <t>否</t>
        </is>
      </c>
      <c r="D5" s="4" t="n"/>
      <c r="E5" s="6" t="inlineStr">
        <is>
          <t>否</t>
        </is>
      </c>
      <c r="F5" s="6" t="inlineStr">
        <is>
          <t>-</t>
        </is>
      </c>
      <c r="G5" s="7">
        <f>IF(AND(E5="是",F5=1),D5*F5,0)</f>
        <v/>
      </c>
      <c r="H5" s="8" t="inlineStr">
        <is>
          <t>汇总节点不参与计算</t>
        </is>
      </c>
    </row>
    <row r="6">
      <c r="A6" s="4" t="inlineStr">
        <is>
          <t>S010100000000</t>
        </is>
      </c>
      <c r="B6" s="5" t="inlineStr">
        <is>
          <t>（一）人民币小计</t>
        </is>
      </c>
      <c r="C6" s="6" t="inlineStr">
        <is>
          <t>否</t>
        </is>
      </c>
      <c r="D6" s="4" t="n"/>
      <c r="E6" s="6" t="inlineStr">
        <is>
          <t>否</t>
        </is>
      </c>
      <c r="F6" s="6" t="inlineStr">
        <is>
          <t>-</t>
        </is>
      </c>
      <c r="G6" s="7">
        <f>IF(AND(E6="是",F6=1),D6*F6,0)</f>
        <v/>
      </c>
      <c r="H6" s="8" t="inlineStr">
        <is>
          <t>汇总节点</t>
        </is>
      </c>
    </row>
    <row r="7">
      <c r="A7" s="4" t="inlineStr">
        <is>
          <t>S010101000000</t>
        </is>
      </c>
      <c r="B7" s="5" t="inlineStr">
        <is>
          <t>1.境内人民币各项贷款</t>
        </is>
      </c>
      <c r="C7" s="6" t="inlineStr">
        <is>
          <t>否</t>
        </is>
      </c>
      <c r="D7" s="9" t="n">
        <v>8380847647531.74</v>
      </c>
      <c r="E7" s="6" t="inlineStr">
        <is>
          <t>否</t>
        </is>
      </c>
      <c r="F7" s="6" t="inlineStr">
        <is>
          <t>-</t>
        </is>
      </c>
      <c r="G7" s="7">
        <f>IF(AND(E7="是",F7=1),D7*F7,0)</f>
        <v/>
      </c>
      <c r="H7" s="8" t="inlineStr">
        <is>
          <t>汇总节点</t>
        </is>
      </c>
    </row>
    <row r="8">
      <c r="A8" s="10" t="inlineStr">
        <is>
          <t>S010101010000</t>
        </is>
      </c>
      <c r="B8" s="11" t="inlineStr">
        <is>
          <t>1.1.对公一般贷款</t>
        </is>
      </c>
      <c r="C8" s="12" t="inlineStr">
        <is>
          <t>是</t>
        </is>
      </c>
      <c r="D8" s="13" t="n">
        <v>2945272044075.94</v>
      </c>
      <c r="E8" s="12" t="inlineStr">
        <is>
          <t>否</t>
        </is>
      </c>
      <c r="F8" s="12" t="inlineStr">
        <is>
          <t>-</t>
        </is>
      </c>
      <c r="G8" s="14">
        <f>IF(AND(E8="是",F8=1),D8*F8,0)</f>
        <v/>
      </c>
      <c r="H8" s="15" t="inlineStr">
        <is>
          <t>资产项 不参与</t>
        </is>
      </c>
    </row>
    <row r="9">
      <c r="A9" s="10" t="inlineStr">
        <is>
          <t>S010101020000</t>
        </is>
      </c>
      <c r="B9" s="11" t="inlineStr">
        <is>
          <t>1.2.个人贷款</t>
        </is>
      </c>
      <c r="C9" s="12" t="inlineStr">
        <is>
          <t>是</t>
        </is>
      </c>
      <c r="D9" s="13" t="n">
        <v>1828186569200.79</v>
      </c>
      <c r="E9" s="12" t="inlineStr">
        <is>
          <t>否</t>
        </is>
      </c>
      <c r="F9" s="12" t="inlineStr">
        <is>
          <t>-</t>
        </is>
      </c>
      <c r="G9" s="14">
        <f>IF(AND(E9="是",F9=1),D9*F9,0)</f>
        <v/>
      </c>
      <c r="H9" s="15" t="inlineStr">
        <is>
          <t>资产项 不参与</t>
        </is>
      </c>
    </row>
    <row r="10">
      <c r="A10" s="10" t="inlineStr">
        <is>
          <t>S010101030000</t>
        </is>
      </c>
      <c r="B10" s="11" t="inlineStr">
        <is>
          <t>1.3.信用卡贷款</t>
        </is>
      </c>
      <c r="C10" s="12" t="inlineStr">
        <is>
          <t>是</t>
        </is>
      </c>
      <c r="D10" s="13" t="n">
        <v>444525501384.64</v>
      </c>
      <c r="E10" s="12" t="inlineStr">
        <is>
          <t>否</t>
        </is>
      </c>
      <c r="F10" s="12" t="inlineStr">
        <is>
          <t>-</t>
        </is>
      </c>
      <c r="G10" s="14">
        <f>IF(AND(E10="是",F10=1),D10*F10,0)</f>
        <v/>
      </c>
      <c r="H10" s="15" t="inlineStr">
        <is>
          <t>资产项 不参与</t>
        </is>
      </c>
    </row>
    <row r="11">
      <c r="A11" s="10" t="inlineStr">
        <is>
          <t>S010101040000</t>
        </is>
      </c>
      <c r="B11" s="11" t="inlineStr">
        <is>
          <t>1.4.票据贴现</t>
        </is>
      </c>
      <c r="C11" s="12" t="inlineStr">
        <is>
          <t>是</t>
        </is>
      </c>
      <c r="D11" s="13" t="n">
        <v>201340076281.32</v>
      </c>
      <c r="E11" s="12" t="inlineStr">
        <is>
          <t>否</t>
        </is>
      </c>
      <c r="F11" s="12" t="inlineStr">
        <is>
          <t>-</t>
        </is>
      </c>
      <c r="G11" s="14">
        <f>IF(AND(E11="是",F11=1),D11*F11,0)</f>
        <v/>
      </c>
      <c r="H11" s="15" t="inlineStr">
        <is>
          <t>资产项 不参与</t>
        </is>
      </c>
    </row>
    <row r="12">
      <c r="A12" s="10" t="inlineStr">
        <is>
          <t>S010101050000</t>
        </is>
      </c>
      <c r="B12" s="11" t="inlineStr">
        <is>
          <t>1.5.非银贷款</t>
        </is>
      </c>
      <c r="C12" s="12" t="inlineStr">
        <is>
          <t>是</t>
        </is>
      </c>
      <c r="D12" s="13" t="n">
        <v>348478250000</v>
      </c>
      <c r="E12" s="12" t="inlineStr">
        <is>
          <t>否</t>
        </is>
      </c>
      <c r="F12" s="12" t="inlineStr">
        <is>
          <t>-</t>
        </is>
      </c>
      <c r="G12" s="14">
        <f>IF(AND(E12="是",F12=1),D12*F12,0)</f>
        <v/>
      </c>
      <c r="H12" s="15" t="inlineStr">
        <is>
          <t>资产项 不参与</t>
        </is>
      </c>
    </row>
    <row r="13">
      <c r="A13" s="4" t="inlineStr">
        <is>
          <t>S010102000000</t>
        </is>
      </c>
      <c r="B13" s="5" t="inlineStr">
        <is>
          <t>2.人民币非信贷类业务</t>
        </is>
      </c>
      <c r="C13" s="6" t="inlineStr">
        <is>
          <t>否</t>
        </is>
      </c>
      <c r="D13" s="9" t="n">
        <v>2613045206589.05</v>
      </c>
      <c r="E13" s="6" t="inlineStr">
        <is>
          <t>否</t>
        </is>
      </c>
      <c r="F13" s="6" t="inlineStr">
        <is>
          <t>-</t>
        </is>
      </c>
      <c r="G13" s="7">
        <f>IF(AND(E13="是",F13=1),D13*F13,0)</f>
        <v/>
      </c>
      <c r="H13" s="8" t="inlineStr">
        <is>
          <t>汇总节点</t>
        </is>
      </c>
    </row>
    <row r="14">
      <c r="A14" s="4" t="inlineStr">
        <is>
          <t>S010102010000</t>
        </is>
      </c>
      <c r="B14" s="5" t="inlineStr">
        <is>
          <t>2.1.债券投资</t>
        </is>
      </c>
      <c r="C14" s="6" t="inlineStr">
        <is>
          <t>否</t>
        </is>
      </c>
      <c r="D14" s="9" t="n">
        <v>1794400523623.64</v>
      </c>
      <c r="E14" s="6" t="inlineStr">
        <is>
          <t>否</t>
        </is>
      </c>
      <c r="F14" s="6" t="inlineStr">
        <is>
          <t>-</t>
        </is>
      </c>
      <c r="G14" s="7">
        <f>IF(AND(E14="是",F14=1),D14*F14,0)</f>
        <v/>
      </c>
      <c r="H14" s="8" t="inlineStr">
        <is>
          <t>汇总节点</t>
        </is>
      </c>
    </row>
    <row r="15">
      <c r="A15" s="4" t="inlineStr">
        <is>
          <t>S010102010100</t>
        </is>
      </c>
      <c r="B15" s="5" t="inlineStr">
        <is>
          <t>2.1.1金市自营债券</t>
        </is>
      </c>
      <c r="C15" s="6" t="inlineStr">
        <is>
          <t>否</t>
        </is>
      </c>
      <c r="D15" s="9" t="n">
        <v>1184382566128.63</v>
      </c>
      <c r="E15" s="6" t="inlineStr">
        <is>
          <t>否</t>
        </is>
      </c>
      <c r="F15" s="6" t="inlineStr">
        <is>
          <t>-</t>
        </is>
      </c>
      <c r="G15" s="7">
        <f>IF(AND(E15="是",F15=1),D15*F15,0)</f>
        <v/>
      </c>
      <c r="H15" s="8" t="inlineStr">
        <is>
          <t>汇总节点</t>
        </is>
      </c>
    </row>
    <row r="16">
      <c r="A16" s="10" t="inlineStr">
        <is>
          <t>S010102010101</t>
        </is>
      </c>
      <c r="B16" s="11" t="inlineStr">
        <is>
          <t>2.1.1.1AC</t>
        </is>
      </c>
      <c r="C16" s="12" t="inlineStr">
        <is>
          <t>是</t>
        </is>
      </c>
      <c r="D16" s="13" t="n">
        <v>543980069724.63</v>
      </c>
      <c r="E16" s="12" t="inlineStr">
        <is>
          <t>否</t>
        </is>
      </c>
      <c r="F16" s="12" t="inlineStr">
        <is>
          <t>-</t>
        </is>
      </c>
      <c r="G16" s="14">
        <f>IF(AND(E16="是",F16=1),D16*F16,0)</f>
        <v/>
      </c>
      <c r="H16" s="15" t="inlineStr">
        <is>
          <t>资产项</t>
        </is>
      </c>
    </row>
    <row r="17">
      <c r="A17" s="10" t="inlineStr">
        <is>
          <t>S010102010102</t>
        </is>
      </c>
      <c r="B17" s="11" t="inlineStr">
        <is>
          <t>2.1.1.2FVOCI</t>
        </is>
      </c>
      <c r="C17" s="12" t="inlineStr">
        <is>
          <t>是</t>
        </is>
      </c>
      <c r="D17" s="13" t="n">
        <v>640402496404</v>
      </c>
      <c r="E17" s="12" t="inlineStr">
        <is>
          <t>否</t>
        </is>
      </c>
      <c r="F17" s="12" t="inlineStr">
        <is>
          <t>-</t>
        </is>
      </c>
      <c r="G17" s="14">
        <f>IF(AND(E17="是",F17=1),D17*F17,0)</f>
        <v/>
      </c>
      <c r="H17" s="15" t="inlineStr">
        <is>
          <t>资产项</t>
        </is>
      </c>
    </row>
    <row r="18">
      <c r="A18" s="10" t="inlineStr">
        <is>
          <t>S010102010103</t>
        </is>
      </c>
      <c r="B18" s="11" t="inlineStr">
        <is>
          <t>2.1.1.3FVTPL</t>
        </is>
      </c>
      <c r="C18" s="12" t="inlineStr">
        <is>
          <t>是</t>
        </is>
      </c>
      <c r="D18" s="13" t="n">
        <v>50000000000</v>
      </c>
      <c r="E18" s="12" t="inlineStr">
        <is>
          <t>否</t>
        </is>
      </c>
      <c r="F18" s="12" t="inlineStr">
        <is>
          <t>-</t>
        </is>
      </c>
      <c r="G18" s="14">
        <f>IF(AND(E18="是",F18=1),D18*F18,0)</f>
        <v/>
      </c>
      <c r="H18" s="15" t="inlineStr">
        <is>
          <t>资产项</t>
        </is>
      </c>
    </row>
    <row r="19">
      <c r="A19" s="4" t="inlineStr">
        <is>
          <t>S010102010200</t>
        </is>
      </c>
      <c r="B19" s="5" t="inlineStr">
        <is>
          <t>2.1.2司库债券</t>
        </is>
      </c>
      <c r="C19" s="6" t="inlineStr">
        <is>
          <t>否</t>
        </is>
      </c>
      <c r="D19" s="9" t="n">
        <v>610017957495.01</v>
      </c>
      <c r="E19" s="6" t="inlineStr">
        <is>
          <t>否</t>
        </is>
      </c>
      <c r="F19" s="6" t="inlineStr">
        <is>
          <t>-</t>
        </is>
      </c>
      <c r="G19" s="7">
        <f>IF(AND(E19="是",F19=1),D19*F19,0)</f>
        <v/>
      </c>
      <c r="H19" s="8" t="inlineStr">
        <is>
          <t>汇总节点</t>
        </is>
      </c>
    </row>
    <row r="20">
      <c r="A20" s="10" t="inlineStr">
        <is>
          <t>S010102010201</t>
        </is>
      </c>
      <c r="B20" s="11" t="inlineStr">
        <is>
          <t>2.1.2.1AC</t>
        </is>
      </c>
      <c r="C20" s="12" t="inlineStr">
        <is>
          <t>是</t>
        </is>
      </c>
      <c r="D20" s="13" t="n">
        <v>566351367717.5</v>
      </c>
      <c r="E20" s="12" t="inlineStr">
        <is>
          <t>否</t>
        </is>
      </c>
      <c r="F20" s="12" t="inlineStr">
        <is>
          <t>-</t>
        </is>
      </c>
      <c r="G20" s="14">
        <f>IF(AND(E20="是",F20=1),D20*F20,0)</f>
        <v/>
      </c>
      <c r="H20" s="15" t="inlineStr">
        <is>
          <t>资产项</t>
        </is>
      </c>
    </row>
    <row r="21">
      <c r="A21" s="10" t="inlineStr">
        <is>
          <t>S010102010202</t>
        </is>
      </c>
      <c r="B21" s="11" t="inlineStr">
        <is>
          <t>2.1.2.2FVOCI</t>
        </is>
      </c>
      <c r="C21" s="12" t="inlineStr">
        <is>
          <t>是</t>
        </is>
      </c>
      <c r="D21" s="13" t="n">
        <v>43666589777.51</v>
      </c>
      <c r="E21" s="12" t="inlineStr">
        <is>
          <t>否</t>
        </is>
      </c>
      <c r="F21" s="12" t="inlineStr">
        <is>
          <t>-</t>
        </is>
      </c>
      <c r="G21" s="14">
        <f>IF(AND(E21="是",F21=1),D21*F21,0)</f>
        <v/>
      </c>
      <c r="H21" s="15" t="inlineStr">
        <is>
          <t>资产项</t>
        </is>
      </c>
    </row>
    <row r="22">
      <c r="A22" s="10" t="inlineStr">
        <is>
          <t>S010102010203</t>
        </is>
      </c>
      <c r="B22" s="11" t="inlineStr">
        <is>
          <t>2.1.2.3FVTPL</t>
        </is>
      </c>
      <c r="C22" s="12" t="inlineStr">
        <is>
          <t>是</t>
        </is>
      </c>
      <c r="D22" s="13" t="n">
        <v>30000000000</v>
      </c>
      <c r="E22" s="12" t="inlineStr">
        <is>
          <t>否</t>
        </is>
      </c>
      <c r="F22" s="12" t="inlineStr">
        <is>
          <t>-</t>
        </is>
      </c>
      <c r="G22" s="14">
        <f>IF(AND(E22="是",F22=1),D22*F22,0)</f>
        <v/>
      </c>
      <c r="H22" s="15" t="inlineStr">
        <is>
          <t>资产项</t>
        </is>
      </c>
    </row>
    <row r="23">
      <c r="A23" s="10" t="inlineStr">
        <is>
          <t>S010102020000</t>
        </is>
      </c>
      <c r="B23" s="11" t="inlineStr">
        <is>
          <t>2.2.结构化融资</t>
        </is>
      </c>
      <c r="C23" s="12" t="inlineStr">
        <is>
          <t>是</t>
        </is>
      </c>
      <c r="D23" s="13" t="n">
        <v>205172333337.52</v>
      </c>
      <c r="E23" s="12" t="inlineStr">
        <is>
          <t>否</t>
        </is>
      </c>
      <c r="F23" s="12" t="inlineStr">
        <is>
          <t>-</t>
        </is>
      </c>
      <c r="G23" s="14">
        <f>IF(AND(E23="是",F23=1),D23*F23,0)</f>
        <v/>
      </c>
      <c r="H23" s="15" t="inlineStr">
        <is>
          <t>资产项</t>
        </is>
      </c>
    </row>
    <row r="24">
      <c r="A24" s="10" t="inlineStr">
        <is>
          <t>S010102030000</t>
        </is>
      </c>
      <c r="B24" s="11" t="inlineStr">
        <is>
          <t>2.3.同业资产（不含拆放非银）</t>
        </is>
      </c>
      <c r="C24" s="12" t="inlineStr">
        <is>
          <t>是</t>
        </is>
      </c>
      <c r="D24" s="13" t="n">
        <v>248117663093.33</v>
      </c>
      <c r="E24" s="12" t="inlineStr">
        <is>
          <t>否</t>
        </is>
      </c>
      <c r="F24" s="12" t="inlineStr">
        <is>
          <t>-</t>
        </is>
      </c>
      <c r="G24" s="14">
        <f>IF(AND(E24="是",F24=1),D24*F24,0)</f>
        <v/>
      </c>
      <c r="H24" s="15" t="inlineStr">
        <is>
          <t>资产项 同业资产 非同业负债</t>
        </is>
      </c>
    </row>
    <row r="25">
      <c r="A25" s="10" t="inlineStr">
        <is>
          <t>S010102040000</t>
        </is>
      </c>
      <c r="B25" s="11" t="inlineStr">
        <is>
          <t>2.4.存款准备金</t>
        </is>
      </c>
      <c r="C25" s="12" t="inlineStr">
        <is>
          <t>是</t>
        </is>
      </c>
      <c r="D25" s="13" t="n">
        <v>365354686534.56</v>
      </c>
      <c r="E25" s="12" t="inlineStr">
        <is>
          <t>否</t>
        </is>
      </c>
      <c r="F25" s="12" t="inlineStr">
        <is>
          <t>-</t>
        </is>
      </c>
      <c r="G25" s="14">
        <f>IF(AND(E25="是",F25=1),D25*F25,0)</f>
        <v/>
      </c>
      <c r="H25" s="15" t="inlineStr">
        <is>
          <t>资产项</t>
        </is>
      </c>
    </row>
    <row r="26">
      <c r="A26" s="4" t="inlineStr">
        <is>
          <t>S010103000000</t>
        </is>
      </c>
      <c r="B26" s="5" t="inlineStr">
        <is>
          <t>3.人民币非生息资产</t>
        </is>
      </c>
      <c r="C26" s="6" t="inlineStr">
        <is>
          <t>否</t>
        </is>
      </c>
      <c r="D26" s="9" t="n">
        <v>867778998074.61</v>
      </c>
      <c r="E26" s="6" t="inlineStr">
        <is>
          <t>否</t>
        </is>
      </c>
      <c r="F26" s="6" t="inlineStr">
        <is>
          <t>-</t>
        </is>
      </c>
      <c r="G26" s="7">
        <f>IF(AND(E26="是",F26=1),D26*F26,0)</f>
        <v/>
      </c>
      <c r="H26" s="8" t="inlineStr">
        <is>
          <t>汇总节点</t>
        </is>
      </c>
    </row>
    <row r="27">
      <c r="A27" s="10" t="inlineStr">
        <is>
          <t>S010103010000</t>
        </is>
      </c>
      <c r="B27" s="11" t="inlineStr">
        <is>
          <t>3.1.FVTPL类资产</t>
        </is>
      </c>
      <c r="C27" s="12" t="inlineStr">
        <is>
          <t>是</t>
        </is>
      </c>
      <c r="D27" s="13" t="n">
        <v>640262452968.54</v>
      </c>
      <c r="E27" s="12" t="inlineStr">
        <is>
          <t>否</t>
        </is>
      </c>
      <c r="F27" s="12" t="inlineStr">
        <is>
          <t>-</t>
        </is>
      </c>
      <c r="G27" s="14">
        <f>IF(AND(E27="是",F27=1),D27*F27,0)</f>
        <v/>
      </c>
      <c r="H27" s="15" t="inlineStr">
        <is>
          <t>资产项</t>
        </is>
      </c>
    </row>
    <row r="28">
      <c r="A28" s="4" t="inlineStr">
        <is>
          <t>S010103020000</t>
        </is>
      </c>
      <c r="B28" s="5" t="inlineStr">
        <is>
          <t>3.2.其他非生息资产</t>
        </is>
      </c>
      <c r="C28" s="6" t="inlineStr">
        <is>
          <t>否</t>
        </is>
      </c>
      <c r="D28" s="9" t="n">
        <v>227516545106.07</v>
      </c>
      <c r="E28" s="6" t="inlineStr">
        <is>
          <t>否</t>
        </is>
      </c>
      <c r="F28" s="6" t="inlineStr">
        <is>
          <t>-</t>
        </is>
      </c>
      <c r="G28" s="7">
        <f>IF(AND(E28="是",F28=1),D28*F28,0)</f>
        <v/>
      </c>
      <c r="H28" s="8" t="inlineStr">
        <is>
          <t>汇总节点</t>
        </is>
      </c>
    </row>
    <row r="29">
      <c r="A29" s="10" t="inlineStr">
        <is>
          <t>S010103020100</t>
        </is>
      </c>
      <c r="B29" s="11" t="inlineStr">
        <is>
          <t>3.2.1. 其中：现金</t>
        </is>
      </c>
      <c r="C29" s="12" t="inlineStr">
        <is>
          <t>是</t>
        </is>
      </c>
      <c r="D29" s="13" t="n">
        <v>127516545106</v>
      </c>
      <c r="E29" s="12" t="inlineStr">
        <is>
          <t>否</t>
        </is>
      </c>
      <c r="F29" s="12" t="inlineStr">
        <is>
          <t>-</t>
        </is>
      </c>
      <c r="G29" s="14">
        <f>IF(AND(E29="是",F29=1),D29*F29,0)</f>
        <v/>
      </c>
      <c r="H29" s="15" t="inlineStr">
        <is>
          <t>资产项</t>
        </is>
      </c>
    </row>
    <row r="30">
      <c r="A30" s="10" t="inlineStr">
        <is>
          <t>S010103020200</t>
        </is>
      </c>
      <c r="B30" s="11" t="inlineStr">
        <is>
          <t>3.2.2. 其中：其它</t>
        </is>
      </c>
      <c r="C30" s="12" t="inlineStr">
        <is>
          <t>是</t>
        </is>
      </c>
      <c r="D30" s="13" t="n">
        <v>100000000000</v>
      </c>
      <c r="E30" s="12" t="inlineStr">
        <is>
          <t>否</t>
        </is>
      </c>
      <c r="F30" s="12" t="inlineStr">
        <is>
          <t>-</t>
        </is>
      </c>
      <c r="G30" s="14">
        <f>IF(AND(E30="是",F30=1),D30*F30,0)</f>
        <v/>
      </c>
      <c r="H30" s="15" t="inlineStr">
        <is>
          <t>资产项</t>
        </is>
      </c>
    </row>
    <row r="31">
      <c r="A31" s="4" t="inlineStr">
        <is>
          <t>S010200000000</t>
        </is>
      </c>
      <c r="B31" s="5" t="inlineStr">
        <is>
          <t>（二）外币小计（美元）</t>
        </is>
      </c>
      <c r="C31" s="6" t="inlineStr">
        <is>
          <t>否</t>
        </is>
      </c>
      <c r="D31" s="4" t="n"/>
      <c r="E31" s="6" t="inlineStr">
        <is>
          <t>否</t>
        </is>
      </c>
      <c r="F31" s="6" t="inlineStr">
        <is>
          <t>-</t>
        </is>
      </c>
      <c r="G31" s="7">
        <f>IF(AND(E31="是",F31=1),D31*F31,0)</f>
        <v/>
      </c>
      <c r="H31" s="8" t="inlineStr">
        <is>
          <t>汇总节点</t>
        </is>
      </c>
    </row>
    <row r="32">
      <c r="A32" s="10" t="inlineStr">
        <is>
          <t>S010201000000</t>
        </is>
      </c>
      <c r="B32" s="11" t="inlineStr">
        <is>
          <t>1.外币贷款</t>
        </is>
      </c>
      <c r="C32" s="12" t="inlineStr">
        <is>
          <t>是</t>
        </is>
      </c>
      <c r="D32" s="13" t="n">
        <v>80000000000</v>
      </c>
      <c r="E32" s="12" t="inlineStr">
        <is>
          <t>否</t>
        </is>
      </c>
      <c r="F32" s="12" t="inlineStr">
        <is>
          <t>-</t>
        </is>
      </c>
      <c r="G32" s="14">
        <f>IF(AND(E32="是",F32=1),D32*F32,0)</f>
        <v/>
      </c>
      <c r="H32" s="15" t="inlineStr">
        <is>
          <t>资产项</t>
        </is>
      </c>
    </row>
    <row r="33">
      <c r="A33" s="4" t="inlineStr">
        <is>
          <t>S010202000000</t>
        </is>
      </c>
      <c r="B33" s="5" t="inlineStr">
        <is>
          <t>2.外币非信贷资产</t>
        </is>
      </c>
      <c r="C33" s="6" t="inlineStr">
        <is>
          <t>否</t>
        </is>
      </c>
      <c r="D33" s="4" t="n"/>
      <c r="E33" s="6" t="inlineStr">
        <is>
          <t>否</t>
        </is>
      </c>
      <c r="F33" s="6" t="inlineStr">
        <is>
          <t>-</t>
        </is>
      </c>
      <c r="G33" s="7">
        <f>IF(AND(E33="是",F33=1),D33*F33,0)</f>
        <v/>
      </c>
      <c r="H33" s="8" t="inlineStr">
        <is>
          <t>汇总节点</t>
        </is>
      </c>
    </row>
    <row r="34">
      <c r="A34" s="10" t="inlineStr">
        <is>
          <t>S010202010000</t>
        </is>
      </c>
      <c r="B34" s="11" t="inlineStr">
        <is>
          <t>2.1.外币债券</t>
        </is>
      </c>
      <c r="C34" s="12" t="inlineStr">
        <is>
          <t>是</t>
        </is>
      </c>
      <c r="D34" s="13" t="n">
        <v>35000000000</v>
      </c>
      <c r="E34" s="12" t="inlineStr">
        <is>
          <t>否</t>
        </is>
      </c>
      <c r="F34" s="12" t="inlineStr">
        <is>
          <t>-</t>
        </is>
      </c>
      <c r="G34" s="14">
        <f>IF(AND(E34="是",F34=1),D34*F34,0)</f>
        <v/>
      </c>
      <c r="H34" s="15" t="inlineStr">
        <is>
          <t>资产项</t>
        </is>
      </c>
    </row>
    <row r="35">
      <c r="A35" s="10" t="inlineStr">
        <is>
          <t>S010202020000</t>
        </is>
      </c>
      <c r="B35" s="11" t="inlineStr">
        <is>
          <t>2.2.同业资产</t>
        </is>
      </c>
      <c r="C35" s="12" t="inlineStr">
        <is>
          <t>是</t>
        </is>
      </c>
      <c r="D35" s="13" t="n">
        <v>25000000000</v>
      </c>
      <c r="E35" s="12" t="inlineStr">
        <is>
          <t>否</t>
        </is>
      </c>
      <c r="F35" s="12" t="inlineStr">
        <is>
          <t>-</t>
        </is>
      </c>
      <c r="G35" s="14">
        <f>IF(AND(E35="是",F35=1),D35*F35,0)</f>
        <v/>
      </c>
      <c r="H35" s="15" t="inlineStr">
        <is>
          <t>资产项 同业资产 非同业负债</t>
        </is>
      </c>
    </row>
    <row r="36">
      <c r="A36" s="10" t="inlineStr">
        <is>
          <t>S010203000000</t>
        </is>
      </c>
      <c r="B36" s="11" t="inlineStr">
        <is>
          <t>3.外币非生息资产</t>
        </is>
      </c>
      <c r="C36" s="12" t="inlineStr">
        <is>
          <t>是</t>
        </is>
      </c>
      <c r="D36" s="13" t="n">
        <v>10000000000</v>
      </c>
      <c r="E36" s="12" t="inlineStr">
        <is>
          <t>否</t>
        </is>
      </c>
      <c r="F36" s="12" t="inlineStr">
        <is>
          <t>-</t>
        </is>
      </c>
      <c r="G36" s="14">
        <f>IF(AND(E36="是",F36=1),D36*F36,0)</f>
        <v/>
      </c>
      <c r="H36" s="15" t="inlineStr">
        <is>
          <t>资产项</t>
        </is>
      </c>
    </row>
    <row r="37">
      <c r="A37" s="4" t="inlineStr">
        <is>
          <t>S020000000000</t>
        </is>
      </c>
      <c r="B37" s="5" t="inlineStr">
        <is>
          <t>总负债</t>
        </is>
      </c>
      <c r="C37" s="6" t="inlineStr">
        <is>
          <t>否</t>
        </is>
      </c>
      <c r="D37" s="4" t="n"/>
      <c r="E37" s="6" t="inlineStr">
        <is>
          <t>否</t>
        </is>
      </c>
      <c r="F37" s="6" t="inlineStr">
        <is>
          <t>-</t>
        </is>
      </c>
      <c r="G37" s="7">
        <f>IF(AND(E37="是",F37=1),D37*F37,0)</f>
        <v/>
      </c>
      <c r="H37" s="8" t="inlineStr">
        <is>
          <t>汇总节点</t>
        </is>
      </c>
    </row>
    <row r="38">
      <c r="A38" s="4" t="inlineStr">
        <is>
          <t>S020100000000</t>
        </is>
      </c>
      <c r="B38" s="5" t="inlineStr">
        <is>
          <t>（一）人民币小计</t>
        </is>
      </c>
      <c r="C38" s="6" t="inlineStr">
        <is>
          <t>否</t>
        </is>
      </c>
      <c r="D38" s="4" t="n"/>
      <c r="E38" s="6" t="inlineStr">
        <is>
          <t>否</t>
        </is>
      </c>
      <c r="F38" s="6" t="inlineStr">
        <is>
          <t>-</t>
        </is>
      </c>
      <c r="G38" s="7">
        <f>IF(AND(E38="是",F38=1),D38*F38,0)</f>
        <v/>
      </c>
      <c r="H38" s="8" t="inlineStr">
        <is>
          <t>汇总节点</t>
        </is>
      </c>
    </row>
    <row r="39">
      <c r="A39" s="4" t="inlineStr">
        <is>
          <t>S020101000000</t>
        </is>
      </c>
      <c r="B39" s="5" t="inlineStr">
        <is>
          <t>1.境内人民币自营存款</t>
        </is>
      </c>
      <c r="C39" s="6" t="inlineStr">
        <is>
          <t>否</t>
        </is>
      </c>
      <c r="D39" s="4" t="n"/>
      <c r="E39" s="6" t="inlineStr">
        <is>
          <t>否</t>
        </is>
      </c>
      <c r="F39" s="6" t="inlineStr">
        <is>
          <t>-</t>
        </is>
      </c>
      <c r="G39" s="7">
        <f>IF(AND(E39="是",F39=1),D39*F39,0)</f>
        <v/>
      </c>
      <c r="H39" s="8" t="inlineStr">
        <is>
          <t>汇总节点</t>
        </is>
      </c>
    </row>
    <row r="40">
      <c r="A40" s="4" t="inlineStr">
        <is>
          <t>S020101010000</t>
        </is>
      </c>
      <c r="B40" s="5" t="inlineStr">
        <is>
          <t>1.1.对公存款</t>
        </is>
      </c>
      <c r="C40" s="6" t="inlineStr">
        <is>
          <t>否</t>
        </is>
      </c>
      <c r="D40" s="9" t="n">
        <v>4222682106931.64</v>
      </c>
      <c r="E40" s="6" t="inlineStr">
        <is>
          <t>否</t>
        </is>
      </c>
      <c r="F40" s="6" t="inlineStr">
        <is>
          <t>-</t>
        </is>
      </c>
      <c r="G40" s="7">
        <f>IF(AND(E40="是",F40=1),D40*F40,0)</f>
        <v/>
      </c>
      <c r="H40" s="8" t="inlineStr">
        <is>
          <t>汇总节点</t>
        </is>
      </c>
    </row>
    <row r="41">
      <c r="A41" s="10" t="inlineStr">
        <is>
          <t>S020101010100</t>
        </is>
      </c>
      <c r="B41" s="11" t="inlineStr">
        <is>
          <t>1.1.1对公活期存款</t>
        </is>
      </c>
      <c r="C41" s="12" t="inlineStr">
        <is>
          <t>是</t>
        </is>
      </c>
      <c r="D41" s="13" t="n">
        <v>2486212417437.03</v>
      </c>
      <c r="E41" s="12" t="inlineStr">
        <is>
          <t>否</t>
        </is>
      </c>
      <c r="F41" s="12" t="inlineStr">
        <is>
          <t>-</t>
        </is>
      </c>
      <c r="G41" s="14">
        <f>IF(AND(E41="是",F41=1),D41*F41,0)</f>
        <v/>
      </c>
      <c r="H41" s="15" t="inlineStr">
        <is>
          <t>客户存款 不计入同业负债</t>
        </is>
      </c>
    </row>
    <row r="42">
      <c r="A42" s="10" t="inlineStr">
        <is>
          <t>S020101010200</t>
        </is>
      </c>
      <c r="B42" s="11" t="inlineStr">
        <is>
          <t>1.1.2对公定期存款</t>
        </is>
      </c>
      <c r="C42" s="12" t="inlineStr">
        <is>
          <t>是</t>
        </is>
      </c>
      <c r="D42" s="13" t="n">
        <v>1736469689494.61</v>
      </c>
      <c r="E42" s="12" t="inlineStr">
        <is>
          <t>否</t>
        </is>
      </c>
      <c r="F42" s="12" t="inlineStr">
        <is>
          <t>-</t>
        </is>
      </c>
      <c r="G42" s="14">
        <f>IF(AND(E42="是",F42=1),D42*F42,0)</f>
        <v/>
      </c>
      <c r="H42" s="15" t="inlineStr">
        <is>
          <t>客户存款 不计入同业负债</t>
        </is>
      </c>
    </row>
    <row r="43">
      <c r="A43" s="4" t="inlineStr">
        <is>
          <t>S020101020000</t>
        </is>
      </c>
      <c r="B43" s="5" t="inlineStr">
        <is>
          <t>1.2.零售存款</t>
        </is>
      </c>
      <c r="C43" s="6" t="inlineStr">
        <is>
          <t>否</t>
        </is>
      </c>
      <c r="D43" s="9" t="n">
        <v>2169431482604.05</v>
      </c>
      <c r="E43" s="6" t="inlineStr">
        <is>
          <t>否</t>
        </is>
      </c>
      <c r="F43" s="6" t="inlineStr">
        <is>
          <t>-</t>
        </is>
      </c>
      <c r="G43" s="7">
        <f>IF(AND(E43="是",F43=1),D43*F43,0)</f>
        <v/>
      </c>
      <c r="H43" s="8" t="inlineStr">
        <is>
          <t>汇总节点</t>
        </is>
      </c>
    </row>
    <row r="44">
      <c r="A44" s="10" t="inlineStr">
        <is>
          <t>S020101020100</t>
        </is>
      </c>
      <c r="B44" s="11" t="inlineStr">
        <is>
          <t>1.2.1零售活期存款</t>
        </is>
      </c>
      <c r="C44" s="12" t="inlineStr">
        <is>
          <t>是</t>
        </is>
      </c>
      <c r="D44" s="13" t="n">
        <v>434867199487.65</v>
      </c>
      <c r="E44" s="12" t="inlineStr">
        <is>
          <t>否</t>
        </is>
      </c>
      <c r="F44" s="12" t="inlineStr">
        <is>
          <t>-</t>
        </is>
      </c>
      <c r="G44" s="14">
        <f>IF(AND(E44="是",F44=1),D44*F44,0)</f>
        <v/>
      </c>
      <c r="H44" s="15" t="inlineStr">
        <is>
          <t>客户存款 不计入同业负债</t>
        </is>
      </c>
    </row>
    <row r="45">
      <c r="A45" s="10" t="inlineStr">
        <is>
          <t>S020101020200</t>
        </is>
      </c>
      <c r="B45" s="11" t="inlineStr">
        <is>
          <t>1.2.2零售定期存款</t>
        </is>
      </c>
      <c r="C45" s="12" t="inlineStr">
        <is>
          <t>是</t>
        </is>
      </c>
      <c r="D45" s="13" t="n">
        <v>1734564283116.4</v>
      </c>
      <c r="E45" s="12" t="inlineStr">
        <is>
          <t>否</t>
        </is>
      </c>
      <c r="F45" s="12" t="inlineStr">
        <is>
          <t>-</t>
        </is>
      </c>
      <c r="G45" s="14">
        <f>IF(AND(E45="是",F45=1),D45*F45,0)</f>
        <v/>
      </c>
      <c r="H45" s="15" t="inlineStr">
        <is>
          <t>客户存款 不计入同业负债</t>
        </is>
      </c>
    </row>
    <row r="46">
      <c r="A46" s="4" t="inlineStr">
        <is>
          <t>S020102000000</t>
        </is>
      </c>
      <c r="B46" s="5" t="inlineStr">
        <is>
          <t>2.人民币市场化负债</t>
        </is>
      </c>
      <c r="C46" s="6" t="inlineStr">
        <is>
          <t>否</t>
        </is>
      </c>
      <c r="D46" s="4" t="n"/>
      <c r="E46" s="6" t="inlineStr">
        <is>
          <t>否</t>
        </is>
      </c>
      <c r="F46" s="6" t="inlineStr">
        <is>
          <t>-</t>
        </is>
      </c>
      <c r="G46" s="7">
        <f>IF(AND(E46="是",F46=1),D46*F46,0)</f>
        <v/>
      </c>
      <c r="H46" s="8" t="inlineStr">
        <is>
          <t>汇总节点</t>
        </is>
      </c>
    </row>
    <row r="47">
      <c r="A47" s="4" t="inlineStr">
        <is>
          <t>S020102010000</t>
        </is>
      </c>
      <c r="B47" s="5" t="inlineStr">
        <is>
          <t>2.2.1同业负债</t>
        </is>
      </c>
      <c r="C47" s="6" t="inlineStr">
        <is>
          <t>否</t>
        </is>
      </c>
      <c r="D47" s="4" t="n"/>
      <c r="E47" s="6" t="inlineStr">
        <is>
          <t>否</t>
        </is>
      </c>
      <c r="F47" s="6" t="inlineStr">
        <is>
          <t>-</t>
        </is>
      </c>
      <c r="G47" s="7">
        <f>IF(AND(E47="是",F47=1),D47*F47,0)</f>
        <v/>
      </c>
      <c r="H47" s="8" t="inlineStr">
        <is>
          <t>汇总节点 (同业负债 5 子项)</t>
        </is>
      </c>
    </row>
    <row r="48">
      <c r="A48" s="10" t="inlineStr">
        <is>
          <t>S020102010100</t>
        </is>
      </c>
      <c r="B48" s="11" t="inlineStr">
        <is>
          <t>2.2.1.1货币市场同业拆入</t>
        </is>
      </c>
      <c r="C48" s="12" t="inlineStr">
        <is>
          <t>是</t>
        </is>
      </c>
      <c r="D48" s="13" t="n">
        <v>32988348999.99</v>
      </c>
      <c r="E48" s="16" t="inlineStr">
        <is>
          <t>是</t>
        </is>
      </c>
      <c r="F48" s="12" t="n">
        <v>1</v>
      </c>
      <c r="G48" s="17">
        <f>IF(AND(E48="是",F48=1),D48*F48,0)</f>
        <v/>
      </c>
      <c r="H48" s="15" t="inlineStr">
        <is>
          <t>⭐同业负债: 货币市场同业拆入 100% 计入</t>
        </is>
      </c>
    </row>
    <row r="49">
      <c r="A49" s="10" t="inlineStr">
        <is>
          <t>S020102010200</t>
        </is>
      </c>
      <c r="B49" s="11" t="inlineStr">
        <is>
          <t>2.2.1.2货币市场债券回购</t>
        </is>
      </c>
      <c r="C49" s="12" t="inlineStr">
        <is>
          <t>是</t>
        </is>
      </c>
      <c r="D49" s="13" t="n">
        <v>95875096000</v>
      </c>
      <c r="E49" s="16" t="inlineStr">
        <is>
          <t>是</t>
        </is>
      </c>
      <c r="F49" s="12" t="n">
        <v>1</v>
      </c>
      <c r="G49" s="17">
        <f>IF(AND(E49="是",F49=1),D49*F49,0)</f>
        <v/>
      </c>
      <c r="H49" s="15" t="inlineStr">
        <is>
          <t>⭐同业负债: 货币市场债券回购 100% 计入</t>
        </is>
      </c>
    </row>
    <row r="50">
      <c r="A50" s="10" t="inlineStr">
        <is>
          <t>S020102010300</t>
        </is>
      </c>
      <c r="B50" s="11" t="inlineStr">
        <is>
          <t>2.2.1.3同业存单（NCD）</t>
        </is>
      </c>
      <c r="C50" s="12" t="inlineStr">
        <is>
          <t>是</t>
        </is>
      </c>
      <c r="D50" s="13" t="n">
        <v>932237942418.6899</v>
      </c>
      <c r="E50" s="16" t="inlineStr">
        <is>
          <t>是</t>
        </is>
      </c>
      <c r="F50" s="12" t="n">
        <v>1</v>
      </c>
      <c r="G50" s="17">
        <f>IF(AND(E50="是",F50=1),D50*F50,0)</f>
        <v/>
      </c>
      <c r="H50" s="15" t="inlineStr">
        <is>
          <t>⭐同业负债: 同业存单 NCD 100% 计入</t>
        </is>
      </c>
    </row>
    <row r="51">
      <c r="A51" s="10" t="inlineStr">
        <is>
          <t>S020102010400</t>
        </is>
      </c>
      <c r="B51" s="11" t="inlineStr">
        <is>
          <t>2.2.1.4同业存款</t>
        </is>
      </c>
      <c r="C51" s="12" t="inlineStr">
        <is>
          <t>是</t>
        </is>
      </c>
      <c r="D51" s="13" t="n">
        <v>915605054241.89</v>
      </c>
      <c r="E51" s="16" t="inlineStr">
        <is>
          <t>是</t>
        </is>
      </c>
      <c r="F51" s="12" t="n">
        <v>1</v>
      </c>
      <c r="G51" s="17">
        <f>IF(AND(E51="是",F51=1),D51*F51,0)</f>
        <v/>
      </c>
      <c r="H51" s="15" t="inlineStr">
        <is>
          <t>⭐同业负债: 同业存款 100% 计入</t>
        </is>
      </c>
    </row>
    <row r="52">
      <c r="A52" s="10" t="inlineStr">
        <is>
          <t>S020102010500</t>
        </is>
      </c>
      <c r="B52" s="11" t="inlineStr">
        <is>
          <t>2.2.1.5票据转贴现回购</t>
        </is>
      </c>
      <c r="C52" s="12" t="inlineStr">
        <is>
          <t>是</t>
        </is>
      </c>
      <c r="D52" s="13" t="n">
        <v>1000000000</v>
      </c>
      <c r="E52" s="16" t="inlineStr">
        <is>
          <t>是</t>
        </is>
      </c>
      <c r="F52" s="12" t="n">
        <v>1</v>
      </c>
      <c r="G52" s="17">
        <f>IF(AND(E52="是",F52=1),D52*F52,0)</f>
        <v/>
      </c>
      <c r="H52" s="15" t="inlineStr">
        <is>
          <t>⭐同业负债: 票据转贴现 100% 计入</t>
        </is>
      </c>
    </row>
    <row r="53">
      <c r="A53" s="4" t="inlineStr">
        <is>
          <t>S020102020000</t>
        </is>
      </c>
      <c r="B53" s="5" t="inlineStr">
        <is>
          <t>2.2.2央行借款</t>
        </is>
      </c>
      <c r="C53" s="6" t="inlineStr">
        <is>
          <t>否</t>
        </is>
      </c>
      <c r="D53" s="4" t="n"/>
      <c r="E53" s="6" t="inlineStr">
        <is>
          <t>否</t>
        </is>
      </c>
      <c r="F53" s="6" t="inlineStr">
        <is>
          <t>-</t>
        </is>
      </c>
      <c r="G53" s="7">
        <f>IF(AND(E53="是",F53=1),D53*F53,0)</f>
        <v/>
      </c>
      <c r="H53" s="8" t="inlineStr">
        <is>
          <t>汇总节点 (央行借款 不计入同业负债)</t>
        </is>
      </c>
    </row>
    <row r="54">
      <c r="A54" s="10" t="inlineStr">
        <is>
          <t>S020102020100</t>
        </is>
      </c>
      <c r="B54" s="11" t="inlineStr">
        <is>
          <t>2.2.2.1公开市场回购（买断）</t>
        </is>
      </c>
      <c r="C54" s="12" t="inlineStr">
        <is>
          <t>是</t>
        </is>
      </c>
      <c r="D54" s="13" t="n">
        <v>353887790000</v>
      </c>
      <c r="E54" s="12" t="inlineStr">
        <is>
          <t>否</t>
        </is>
      </c>
      <c r="F54" s="12" t="inlineStr">
        <is>
          <t>-</t>
        </is>
      </c>
      <c r="G54" s="14">
        <f>IF(AND(E54="是",F54=1),D54*F54,0)</f>
        <v/>
      </c>
      <c r="H54" s="15" t="inlineStr">
        <is>
          <t>央行借款 不计入同业负债</t>
        </is>
      </c>
    </row>
    <row r="55">
      <c r="A55" s="10" t="inlineStr">
        <is>
          <t>S020102020200</t>
        </is>
      </c>
      <c r="B55" s="11" t="inlineStr">
        <is>
          <t>2.2.2.2中期借贷便利（MLF）</t>
        </is>
      </c>
      <c r="C55" s="12" t="inlineStr">
        <is>
          <t>是</t>
        </is>
      </c>
      <c r="D55" s="13" t="n">
        <v>160370000000</v>
      </c>
      <c r="E55" s="12" t="inlineStr">
        <is>
          <t>否</t>
        </is>
      </c>
      <c r="F55" s="12" t="inlineStr">
        <is>
          <t>-</t>
        </is>
      </c>
      <c r="G55" s="14">
        <f>IF(AND(E55="是",F55=1),D55*F55,0)</f>
        <v/>
      </c>
      <c r="H55" s="15" t="inlineStr">
        <is>
          <t>央行借款 不计入同业负债</t>
        </is>
      </c>
    </row>
    <row r="56">
      <c r="A56" s="10" t="inlineStr">
        <is>
          <t>S020102020300</t>
        </is>
      </c>
      <c r="B56" s="11" t="inlineStr">
        <is>
          <t>2.2.2.3结构性货币政策工具</t>
        </is>
      </c>
      <c r="C56" s="12" t="inlineStr">
        <is>
          <t>是</t>
        </is>
      </c>
      <c r="D56" s="13" t="n">
        <v>42212093203.19</v>
      </c>
      <c r="E56" s="12" t="inlineStr">
        <is>
          <t>否</t>
        </is>
      </c>
      <c r="F56" s="12" t="inlineStr">
        <is>
          <t>-</t>
        </is>
      </c>
      <c r="G56" s="14">
        <f>IF(AND(E56="是",F56=1),D56*F56,0)</f>
        <v/>
      </c>
      <c r="H56" s="15" t="inlineStr">
        <is>
          <t>央行借款 不计入同业负债</t>
        </is>
      </c>
    </row>
    <row r="57">
      <c r="A57" s="10" t="inlineStr">
        <is>
          <t>S020102020400</t>
        </is>
      </c>
      <c r="B57" s="11" t="inlineStr">
        <is>
          <t>2.2.2.4票据再贴现回购</t>
        </is>
      </c>
      <c r="C57" s="12" t="inlineStr">
        <is>
          <t>是</t>
        </is>
      </c>
      <c r="D57" s="13" t="n">
        <v>1525214781.84</v>
      </c>
      <c r="E57" s="12" t="inlineStr">
        <is>
          <t>否</t>
        </is>
      </c>
      <c r="F57" s="12" t="inlineStr">
        <is>
          <t>-</t>
        </is>
      </c>
      <c r="G57" s="14">
        <f>IF(AND(E57="是",F57=1),D57*F57,0)</f>
        <v/>
      </c>
      <c r="H57" s="15" t="inlineStr">
        <is>
          <t>央行借款 不计入同业负债</t>
        </is>
      </c>
    </row>
    <row r="58">
      <c r="A58" s="4" t="inlineStr">
        <is>
          <t>S020200000000</t>
        </is>
      </c>
      <c r="B58" s="5" t="inlineStr">
        <is>
          <t>（二）外币小计（美元）</t>
        </is>
      </c>
      <c r="C58" s="6" t="inlineStr">
        <is>
          <t>否</t>
        </is>
      </c>
      <c r="D58" s="4" t="n"/>
      <c r="E58" s="6" t="inlineStr">
        <is>
          <t>否</t>
        </is>
      </c>
      <c r="F58" s="6" t="inlineStr">
        <is>
          <t>-</t>
        </is>
      </c>
      <c r="G58" s="7">
        <f>IF(AND(E58="是",F58=1),D58*F58,0)</f>
        <v/>
      </c>
      <c r="H58" s="8" t="inlineStr">
        <is>
          <t>汇总节点</t>
        </is>
      </c>
    </row>
    <row r="59">
      <c r="A59" s="10" t="inlineStr">
        <is>
          <t>S020201000000</t>
        </is>
      </c>
      <c r="B59" s="11" t="inlineStr">
        <is>
          <t>1.外币存款</t>
        </is>
      </c>
      <c r="C59" s="12" t="inlineStr">
        <is>
          <t>是</t>
        </is>
      </c>
      <c r="D59" s="13" t="n">
        <v>150000000000</v>
      </c>
      <c r="E59" s="12" t="inlineStr">
        <is>
          <t>否</t>
        </is>
      </c>
      <c r="F59" s="12" t="inlineStr">
        <is>
          <t>-</t>
        </is>
      </c>
      <c r="G59" s="14">
        <f>IF(AND(E59="是",F59=1),D59*F59,0)</f>
        <v/>
      </c>
      <c r="H59" s="15" t="inlineStr">
        <is>
          <t>外币存款 不计入同业负债</t>
        </is>
      </c>
    </row>
    <row r="60">
      <c r="A60" s="10" t="inlineStr">
        <is>
          <t>S020202000000</t>
        </is>
      </c>
      <c r="B60" s="11" t="inlineStr">
        <is>
          <t>2.外币市场化负债</t>
        </is>
      </c>
      <c r="C60" s="12" t="inlineStr">
        <is>
          <t>是</t>
        </is>
      </c>
      <c r="D60" s="13" t="n">
        <v>80000000000</v>
      </c>
      <c r="E60" s="12" t="inlineStr">
        <is>
          <t>否</t>
        </is>
      </c>
      <c r="F60" s="12" t="inlineStr">
        <is>
          <t>-</t>
        </is>
      </c>
      <c r="G60" s="14">
        <f>IF(AND(E60="是",F60=1),D60*F60,0)</f>
        <v/>
      </c>
      <c r="H60" s="15" t="inlineStr">
        <is>
          <t>外币市场化 不计入同业负债</t>
        </is>
      </c>
    </row>
    <row r="61">
      <c r="A61" s="10" t="inlineStr">
        <is>
          <t>S030000000000</t>
        </is>
      </c>
      <c r="B61" s="11" t="inlineStr">
        <is>
          <t>所有者权益</t>
        </is>
      </c>
      <c r="C61" s="12" t="inlineStr">
        <is>
          <t>是</t>
        </is>
      </c>
      <c r="D61" s="13" t="n">
        <v>786217000000</v>
      </c>
      <c r="E61" s="12" t="inlineStr">
        <is>
          <t>否</t>
        </is>
      </c>
      <c r="F61" s="12" t="inlineStr">
        <is>
          <t>-</t>
        </is>
      </c>
      <c r="G61" s="14">
        <f>IF(AND(E61="是",F61=1),D61*F61,0)</f>
        <v/>
      </c>
      <c r="H61" s="15" t="inlineStr">
        <is>
          <t>权益项 不计入同业负债</t>
        </is>
      </c>
    </row>
    <row r="62">
      <c r="A62" s="10" t="inlineStr"/>
      <c r="B62" s="11" t="inlineStr"/>
      <c r="C62" s="12" t="inlineStr"/>
      <c r="D62" s="10" t="n"/>
      <c r="E62" s="12" t="inlineStr">
        <is>
          <t>否</t>
        </is>
      </c>
      <c r="F62" s="12" t="inlineStr">
        <is>
          <t>-</t>
        </is>
      </c>
      <c r="G62" s="14">
        <f>IF(AND(E62="是",F62=1),D62*F62,0)</f>
        <v/>
      </c>
      <c r="H62" s="15" t="inlineStr"/>
    </row>
    <row r="63">
      <c r="A63" s="10" t="inlineStr"/>
      <c r="B63" s="11" t="inlineStr"/>
      <c r="C63" s="12" t="inlineStr"/>
      <c r="D63" s="10" t="n"/>
      <c r="E63" s="12" t="inlineStr">
        <is>
          <t>否</t>
        </is>
      </c>
      <c r="F63" s="12" t="inlineStr">
        <is>
          <t>-</t>
        </is>
      </c>
      <c r="G63" s="14">
        <f>IF(AND(E63="是",F63=1),D63*F63,0)</f>
        <v/>
      </c>
      <c r="H63" s="1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</cols>
  <sheetData>
    <row r="1" ht="30" customHeight="1">
      <c r="A1" s="1" t="inlineStr">
        <is>
          <t>中信银行 同业负债比 计算表</t>
        </is>
      </c>
    </row>
    <row r="2" ht="20" customHeight="1">
      <c r="A2" s="2" t="inlineStr">
        <is>
          <t>数据基准：中信银行 2025 年末 | 单位：人民币元</t>
        </is>
      </c>
    </row>
    <row r="4">
      <c r="A4" s="18" t="inlineStr">
        <is>
          <t>项目</t>
        </is>
      </c>
      <c r="B4" s="18" t="inlineStr">
        <is>
          <t>金额（人民币元）</t>
        </is>
      </c>
      <c r="C4" s="18" t="inlineStr">
        <is>
          <t>占合计</t>
        </is>
      </c>
    </row>
    <row r="5">
      <c r="A5" s="19" t="inlineStr">
        <is>
          <t>【一、同业负债（分子）】</t>
        </is>
      </c>
      <c r="B5" s="20" t="n"/>
      <c r="C5" s="21" t="n"/>
    </row>
    <row r="6">
      <c r="A6" s="18" t="inlineStr">
        <is>
          <t>1. 货币市场同业拆入</t>
        </is>
      </c>
      <c r="B6" s="22">
        <f>同业负债比项目明细!D45</f>
        <v/>
      </c>
      <c r="C6" s="18" t="n"/>
    </row>
    <row r="7">
      <c r="A7" s="18" t="inlineStr">
        <is>
          <t>2. 货币市场债券回购</t>
        </is>
      </c>
      <c r="B7" s="22">
        <f>同业负债比项目明细!D46</f>
        <v/>
      </c>
      <c r="C7" s="18" t="n"/>
    </row>
    <row r="8">
      <c r="A8" s="18" t="inlineStr">
        <is>
          <t>3. 同业存单 (NCD)</t>
        </is>
      </c>
      <c r="B8" s="22">
        <f>同业负债比项目明细!D47</f>
        <v/>
      </c>
      <c r="C8" s="18" t="n"/>
    </row>
    <row r="9">
      <c r="A9" s="18" t="inlineStr">
        <is>
          <t>4. 同业存款</t>
        </is>
      </c>
      <c r="B9" s="22">
        <f>同业负债比项目明细!D48</f>
        <v/>
      </c>
      <c r="C9" s="18" t="n"/>
    </row>
    <row r="10">
      <c r="A10" s="18" t="inlineStr">
        <is>
          <t>5. 票据转贴现回购</t>
        </is>
      </c>
      <c r="B10" s="22">
        <f>同业负债比项目明细!D49</f>
        <v/>
      </c>
      <c r="C10" s="18" t="n"/>
    </row>
    <row r="11">
      <c r="A11" s="23" t="inlineStr">
        <is>
          <t>同业负债合计 (A)</t>
        </is>
      </c>
      <c r="B11" s="24">
        <f>SUM(D6:D10)</f>
        <v/>
      </c>
      <c r="C11" s="25" t="inlineStr">
        <is>
          <t>100.00%</t>
        </is>
      </c>
    </row>
    <row r="12">
      <c r="A12" s="18" t="inlineStr"/>
      <c r="B12" s="18" t="inlineStr"/>
      <c r="C12" s="18" t="inlineStr"/>
    </row>
    <row r="13">
      <c r="A13" s="19" t="inlineStr">
        <is>
          <t>【二、总负债（分母）】</t>
        </is>
      </c>
      <c r="B13" s="20" t="n"/>
      <c r="C13" s="21" t="n"/>
    </row>
    <row r="14">
      <c r="A14" s="18" t="inlineStr">
        <is>
          <t>1. 对公活期存款</t>
        </is>
      </c>
      <c r="B14" s="22">
        <f>同业负债比项目明细!D37</f>
        <v/>
      </c>
      <c r="C14" s="18" t="n"/>
    </row>
    <row r="15">
      <c r="A15" s="18" t="inlineStr">
        <is>
          <t>2. 对公定期存款</t>
        </is>
      </c>
      <c r="B15" s="22">
        <f>同业负债比项目明细!D38</f>
        <v/>
      </c>
      <c r="C15" s="18" t="n"/>
    </row>
    <row r="16">
      <c r="A16" s="18" t="inlineStr">
        <is>
          <t>3. 零售活期存款</t>
        </is>
      </c>
      <c r="B16" s="22">
        <f>同业负债比项目明细!D40</f>
        <v/>
      </c>
      <c r="C16" s="18" t="n"/>
    </row>
    <row r="17">
      <c r="A17" s="18" t="inlineStr">
        <is>
          <t>4. 零售定期存款</t>
        </is>
      </c>
      <c r="B17" s="22">
        <f>同业负债比项目明细!D41</f>
        <v/>
      </c>
      <c r="C17" s="18" t="n"/>
    </row>
    <row r="18">
      <c r="A18" s="18" t="inlineStr">
        <is>
          <t>5. 同业负债 5 项合计</t>
        </is>
      </c>
      <c r="B18" s="22">
        <f>同业负债比项目明细!D45+同业负债比项目明细!D46+同业负债比项目明细!D47+同业负债比项目明细!D48+同业负债比项目明细!D49</f>
        <v/>
      </c>
      <c r="C18" s="18" t="n"/>
    </row>
    <row r="19">
      <c r="A19" s="18" t="inlineStr">
        <is>
          <t>6. 央行借款 4 项</t>
        </is>
      </c>
      <c r="B19" s="22">
        <f>同业负债比项目明细!D50+同业负债比项目明细!D51+同业负债比项目明细!D52+同业负债比项目明细!D53</f>
        <v/>
      </c>
      <c r="C19" s="18" t="n"/>
    </row>
    <row r="20">
      <c r="A20" s="18" t="inlineStr">
        <is>
          <t>7. 外币存款</t>
        </is>
      </c>
      <c r="B20" s="22">
        <f>同业负债比项目明细!D55</f>
        <v/>
      </c>
      <c r="C20" s="18" t="n"/>
    </row>
    <row r="21">
      <c r="A21" s="18" t="inlineStr">
        <is>
          <t>8. 外币市场化负债</t>
        </is>
      </c>
      <c r="B21" s="22">
        <f>同业负债比项目明细!D56</f>
        <v/>
      </c>
      <c r="C21" s="18" t="n"/>
    </row>
    <row r="22">
      <c r="A22" s="23" t="inlineStr">
        <is>
          <t>总负债合计 (B)</t>
        </is>
      </c>
      <c r="B22" s="24">
        <f>SUM(D13:D20)</f>
        <v/>
      </c>
      <c r="C22" s="25" t="inlineStr">
        <is>
          <t>100.00%</t>
        </is>
      </c>
    </row>
    <row r="23">
      <c r="A23" s="18" t="inlineStr"/>
      <c r="B23" s="18" t="inlineStr"/>
      <c r="C23" s="26" t="inlineStr">
        <is>
          <t>★ 同业负债比 ★</t>
        </is>
      </c>
    </row>
    <row r="24">
      <c r="A24" s="19" t="inlineStr">
        <is>
          <t>【三、同业负债比】</t>
        </is>
      </c>
      <c r="B24" s="20" t="n"/>
      <c r="C24" s="21" t="n"/>
    </row>
    <row r="25" ht="28" customHeight="1">
      <c r="A25" s="27" t="inlineStr">
        <is>
          <t>同业负债比 = A / B</t>
        </is>
      </c>
      <c r="B25" s="28">
        <f>D11/D22</f>
        <v/>
      </c>
      <c r="C25" s="18" t="n"/>
    </row>
    <row r="26">
      <c r="A26" s="18" t="inlineStr"/>
      <c r="B26" s="18" t="inlineStr"/>
      <c r="C26" s="18" t="inlineStr"/>
    </row>
    <row r="27">
      <c r="A27" s="19" t="inlineStr">
        <is>
          <t>【四、监管检查】</t>
        </is>
      </c>
      <c r="B27" s="20" t="n"/>
      <c r="C27" s="21" t="n"/>
    </row>
    <row r="28">
      <c r="A28" s="29" t="inlineStr">
        <is>
          <t>监管红线</t>
        </is>
      </c>
      <c r="B28" s="30" t="inlineStr">
        <is>
          <t>33.33%</t>
        </is>
      </c>
      <c r="C28" s="18" t="inlineStr">
        <is>
          <t>≤ 33.33%</t>
        </is>
      </c>
    </row>
    <row r="29">
      <c r="A29" s="18" t="inlineStr">
        <is>
          <t>当前值 vs 红线</t>
        </is>
      </c>
      <c r="B29" s="31">
        <f>IF(D27&lt;=0.3333,"✓ 达标","✗ 超标")</f>
        <v/>
      </c>
      <c r="C29" s="18" t="n"/>
    </row>
    <row r="30">
      <c r="A30" s="18" t="inlineStr">
        <is>
          <t>距红线 (缓冲)</t>
        </is>
      </c>
      <c r="B30" s="32">
        <f>(0.3333-D27)*100</f>
        <v/>
      </c>
      <c r="C30" s="18" t="inlineStr">
        <is>
          <t>pp</t>
        </is>
      </c>
    </row>
  </sheetData>
  <mergeCells count="7">
    <mergeCell ref="A13:C13"/>
    <mergeCell ref="A1:C1"/>
    <mergeCell ref="A5:C5"/>
    <mergeCell ref="A25"/>
    <mergeCell ref="A27:C27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0" customWidth="1" min="3" max="3"/>
  </cols>
  <sheetData>
    <row r="1" ht="30" customHeight="1">
      <c r="A1" s="1" t="inlineStr">
        <is>
          <t>同业负债比 折算依据与监管规定</t>
        </is>
      </c>
    </row>
    <row r="3">
      <c r="A3" s="33" t="inlineStr">
        <is>
          <t>序号</t>
        </is>
      </c>
      <c r="B3" s="33" t="inlineStr">
        <is>
          <t>项目</t>
        </is>
      </c>
      <c r="C3" s="33" t="inlineStr">
        <is>
          <t>内容/公式</t>
        </is>
      </c>
    </row>
    <row r="4">
      <c r="A4" s="34" t="n">
        <v>1</v>
      </c>
      <c r="B4" s="15" t="inlineStr">
        <is>
          <t>指标名称</t>
        </is>
      </c>
      <c r="C4" s="15" t="inlineStr">
        <is>
          <t>同业负债占比 (Interbank Liability Ratio)</t>
        </is>
      </c>
    </row>
    <row r="5">
      <c r="A5" s="34" t="n">
        <v>2</v>
      </c>
      <c r="B5" s="15" t="inlineStr">
        <is>
          <t>指标代码</t>
        </is>
      </c>
      <c r="C5" s="15" t="inlineStr">
        <is>
          <t>IBL</t>
        </is>
      </c>
    </row>
    <row r="6">
      <c r="A6" s="34" t="n">
        <v>3</v>
      </c>
      <c r="B6" s="15" t="inlineStr">
        <is>
          <t>计算公式</t>
        </is>
      </c>
      <c r="C6" s="15" t="inlineStr">
        <is>
          <t>同业负债比 = 同业负债合计 / 总负债合计 × 100%</t>
        </is>
      </c>
    </row>
    <row r="7">
      <c r="A7" s="34" t="n">
        <v>4</v>
      </c>
      <c r="B7" s="15" t="inlineStr">
        <is>
          <t>分子定义</t>
        </is>
      </c>
      <c r="C7" s="15" t="inlineStr">
        <is>
          <t>同业负债 = 货币市场同业拆入 + 货币市场债券回购 + 同业存单 (NCD) + 同业存款 + 票据转贴现回购</t>
        </is>
      </c>
    </row>
    <row r="8">
      <c r="A8" s="34" t="n">
        <v>5</v>
      </c>
      <c r="B8" s="15" t="inlineStr">
        <is>
          <t>分母定义</t>
        </is>
      </c>
      <c r="C8" s="15" t="inlineStr">
        <is>
          <t>总负债 = 对公存款 + 零售存款 + 同业负债 + 央行借款 + 外币存款 + 外币市场化负债 (24 项)</t>
        </is>
      </c>
    </row>
    <row r="9">
      <c r="A9" s="34" t="n">
        <v>6</v>
      </c>
      <c r="B9" s="15" t="inlineStr">
        <is>
          <t>数据来源</t>
        </is>
      </c>
      <c r="C9" s="15" t="inlineStr">
        <is>
          <t>中信银行 2025 年末账户册 (ZX_COA 方案)</t>
        </is>
      </c>
    </row>
    <row r="10">
      <c r="A10" s="34" t="n">
        <v>7</v>
      </c>
      <c r="B10" s="15" t="inlineStr">
        <is>
          <t>监管规定</t>
        </is>
      </c>
      <c r="C10" s="15" t="inlineStr">
        <is>
          <t>银保监会《商业银行风险监管核心指标》同业负债占比 ≤ 33.33%</t>
        </is>
      </c>
    </row>
    <row r="11">
      <c r="A11" s="34" t="n">
        <v>8</v>
      </c>
      <c r="B11" s="15" t="inlineStr">
        <is>
          <t>折算系数</t>
        </is>
      </c>
      <c r="C11" s="15" t="inlineStr">
        <is>
          <t>同业负债 5 项: 100% 计入 | 央行借款 4 项: 0% (不计) | 客户存款: 0% (不计) | 外币: 0% (不计)</t>
        </is>
      </c>
    </row>
    <row r="12">
      <c r="A12" s="34" t="n">
        <v>9</v>
      </c>
      <c r="B12" s="15" t="inlineStr">
        <is>
          <t>中信银行实测</t>
        </is>
      </c>
      <c r="C12" s="15" t="inlineStr">
        <is>
          <t>2025 年末 同业负债合计 ≈ 1.98 万亿 / 总负债 ≈ 9.16 万亿 ≈ 21.6% (留有 12pp 缓冲空间)</t>
        </is>
      </c>
    </row>
    <row r="13">
      <c r="A13" s="34" t="n">
        <v>10</v>
      </c>
      <c r="B13" s="15" t="inlineStr">
        <is>
          <t>考核层级</t>
        </is>
      </c>
      <c r="C13" s="15" t="inlineStr">
        <is>
          <t>本行底线 ≤ 33.33% | 安全 ≤ 25% | 预警 25-30% | 危险 30-33.33% | 红线 &gt; 33.33%</t>
        </is>
      </c>
    </row>
    <row r="14">
      <c r="A14" s="34" t="n">
        <v>11</v>
      </c>
      <c r="B14" s="15" t="inlineStr">
        <is>
          <t>业务含义</t>
        </is>
      </c>
      <c r="C14" s="15" t="inlineStr">
        <is>
          <t>同业负债占比反映银行对同业资金的依赖程度，过高则流动性风险集中</t>
        </is>
      </c>
    </row>
    <row r="15">
      <c r="A15" s="34" t="n">
        <v>12</v>
      </c>
      <c r="B15" s="15" t="inlineStr">
        <is>
          <t>调整建议</t>
        </is>
      </c>
      <c r="C15" s="15" t="inlineStr">
        <is>
          <t>保持同业负债占比 ≤ 25% 安全区间, 避免依赖同业资金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2026-10-10T01:28:35Z</dcterms:created>
  <dcterms:modified xmlns:dcterms="http://purl.org/dc/terms/" xmlns:xsi="http://www.w3.org/2001/XMLSchema-instance" xsi:type="dcterms:W3CDTF">2026-10-10T01:28:35Z</dcterms:modified>
</cp:coreProperties>
</file>