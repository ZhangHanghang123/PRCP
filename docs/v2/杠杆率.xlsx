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杠杆率项目明细" sheetId="1" state="visible" r:id="rId1"/>
    <sheet name="杠杆率计算表" sheetId="2" state="visible" r:id="rId2"/>
    <sheet name="折算依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+0.00%;-0.00%"/>
  </numFmts>
  <fonts count="14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55555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C7000B"/>
      <sz val="13"/>
    </font>
    <font>
      <name val="微软雅黑"/>
      <b val="1"/>
      <sz val="10"/>
    </font>
    <font>
      <name val="微软雅黑"/>
      <b val="1"/>
      <sz val="12"/>
    </font>
    <font>
      <name val="微软雅黑"/>
      <b val="1"/>
      <color rgb="00FFFFFF"/>
      <sz val="12"/>
    </font>
    <font>
      <name val="微软雅黑"/>
      <b val="1"/>
      <color rgb="00C7000B"/>
      <sz val="14"/>
    </font>
    <font>
      <name val="微软雅黑"/>
      <b val="1"/>
      <sz val="11"/>
    </font>
    <font>
      <name val="微软雅黑"/>
      <b val="1"/>
      <color rgb="00C7000B"/>
      <sz val="11"/>
    </font>
    <font>
      <name val="微软雅黑"/>
      <b val="1"/>
      <color rgb="002E7D32"/>
      <sz val="11"/>
    </font>
    <font>
      <name val="微软雅黑"/>
      <b val="1"/>
      <color rgb="002E7D32"/>
      <sz val="12"/>
    </font>
  </fonts>
  <fills count="7">
    <fill>
      <patternFill/>
    </fill>
    <fill>
      <patternFill patternType="gray125"/>
    </fill>
    <fill>
      <patternFill patternType="solid">
        <fgColor rgb="00C7000B"/>
      </patternFill>
    </fill>
    <fill>
      <patternFill patternType="solid">
        <fgColor rgb="00FFF3E0"/>
      </patternFill>
    </fill>
    <fill>
      <patternFill patternType="solid">
        <fgColor rgb="00FFE082"/>
      </patternFill>
    </fill>
    <fill>
      <patternFill patternType="solid">
        <fgColor rgb="00C8E6C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164" fontId="9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center" vertical="center"/>
    </xf>
    <xf numFmtId="0" fontId="5" fillId="3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6" customWidth="1" min="3" max="3"/>
    <col width="18" customWidth="1" min="4" max="4"/>
    <col width="12" customWidth="1" min="5" max="5"/>
    <col width="12" customWidth="1" min="6" max="6"/>
    <col width="18" customWidth="1" min="7" max="7"/>
    <col width="14" customWidth="1" min="8" max="8"/>
    <col width="12" customWidth="1" min="9" max="9"/>
    <col width="20" customWidth="1" min="10" max="10"/>
    <col width="32" customWidth="1" min="11" max="11"/>
  </cols>
  <sheetData>
    <row r="1" ht="30" customHeight="1">
      <c r="A1" s="1" t="inlineStr">
        <is>
          <t>杠杆率 (Leverage Ratio) 计量模版 - 中信银行 2025 年末</t>
        </is>
      </c>
    </row>
    <row r="2" ht="22" customHeight="1">
      <c r="A2" s="2" t="inlineStr">
        <is>
          <t>公式: 杠杆率 = 一级资本净额 / 调整后表内外资产余额 | 监管 ≥ 4% (银保监) | 沿用 6 指标账户册 57 行结构</t>
        </is>
      </c>
    </row>
    <row r="4" ht="36" customHeight="1">
      <c r="A4" s="3" t="inlineStr">
        <is>
          <t>项目序号</t>
        </is>
      </c>
      <c r="B4" s="3" t="inlineStr">
        <is>
          <t>项目名称</t>
        </is>
      </c>
      <c r="C4" s="3" t="inlineStr">
        <is>
          <t>末级</t>
        </is>
      </c>
      <c r="D4" s="3" t="inlineStr">
        <is>
          <t>余额(元)</t>
        </is>
      </c>
      <c r="E4" s="3" t="inlineStr">
        <is>
          <t>是否计入一级资本</t>
        </is>
      </c>
      <c r="F4" s="3" t="inlineStr">
        <is>
          <t>一级资本折算系数</t>
        </is>
      </c>
      <c r="G4" s="3" t="inlineStr">
        <is>
          <t>计入一级资本额(元)</t>
        </is>
      </c>
      <c r="H4" s="3" t="inlineStr">
        <is>
          <t>是否计入调整后表内外资产</t>
        </is>
      </c>
      <c r="I4" s="3" t="inlineStr">
        <is>
          <t>信用转换系数</t>
        </is>
      </c>
      <c r="J4" s="3" t="inlineStr">
        <is>
          <t>调整后表内外资产额(元)</t>
        </is>
      </c>
      <c r="K4" s="3" t="inlineStr">
        <is>
          <t>备注</t>
        </is>
      </c>
    </row>
    <row r="5">
      <c r="A5" s="4" t="inlineStr">
        <is>
          <t>S010000000000</t>
        </is>
      </c>
      <c r="B5" s="5" t="inlineStr">
        <is>
          <t>总资产</t>
        </is>
      </c>
      <c r="C5" s="4" t="inlineStr">
        <is>
          <t>否</t>
        </is>
      </c>
      <c r="D5" s="6" t="n">
        <v>12100000000000</v>
      </c>
      <c r="E5" s="4" t="n"/>
      <c r="F5" s="4" t="n"/>
      <c r="G5" s="6" t="n"/>
      <c r="H5" s="4" t="inlineStr">
        <is>
          <t>是</t>
        </is>
      </c>
      <c r="I5" s="4" t="n">
        <v>0</v>
      </c>
      <c r="J5" s="6">
        <f>D5*I5</f>
        <v/>
      </c>
      <c r="K5" s="5" t="inlineStr">
        <is>
          <t>总资产/人民币小计 (汇总, 不重复)</t>
        </is>
      </c>
    </row>
    <row r="6">
      <c r="A6" s="4" t="inlineStr">
        <is>
          <t>S010100000000</t>
        </is>
      </c>
      <c r="B6" s="5" t="inlineStr">
        <is>
          <t>（一）人民币小计</t>
        </is>
      </c>
      <c r="C6" s="4" t="inlineStr">
        <is>
          <t>否</t>
        </is>
      </c>
      <c r="D6" s="6" t="n">
        <v>11800000000000</v>
      </c>
      <c r="E6" s="4" t="n"/>
      <c r="F6" s="4" t="n"/>
      <c r="G6" s="6" t="n"/>
      <c r="H6" s="4" t="n"/>
      <c r="I6" s="4" t="n"/>
      <c r="J6" s="6" t="n"/>
      <c r="K6" s="5" t="n"/>
    </row>
    <row r="7">
      <c r="A7" s="4" t="inlineStr">
        <is>
          <t>S010101000000</t>
        </is>
      </c>
      <c r="B7" s="5" t="inlineStr">
        <is>
          <t>1.境内人民币各项贷款</t>
        </is>
      </c>
      <c r="C7" s="4" t="inlineStr">
        <is>
          <t>否</t>
        </is>
      </c>
      <c r="D7" s="6" t="n">
        <v>8380847647531.74</v>
      </c>
      <c r="E7" s="4" t="n"/>
      <c r="F7" s="4" t="n"/>
      <c r="G7" s="6" t="n"/>
      <c r="H7" s="4" t="n"/>
      <c r="I7" s="4" t="n"/>
      <c r="J7" s="6" t="n"/>
      <c r="K7" s="5" t="n"/>
    </row>
    <row r="8">
      <c r="A8" s="4" t="inlineStr">
        <is>
          <t>S010101010000</t>
        </is>
      </c>
      <c r="B8" s="5" t="inlineStr">
        <is>
          <t>1.1.对公一般贷款</t>
        </is>
      </c>
      <c r="C8" s="4" t="inlineStr">
        <is>
          <t>是</t>
        </is>
      </c>
      <c r="D8" s="6" t="n">
        <v>2945272044075.94</v>
      </c>
      <c r="E8" s="4" t="n"/>
      <c r="F8" s="4" t="n"/>
      <c r="G8" s="6" t="n"/>
      <c r="H8" s="4" t="inlineStr">
        <is>
          <t>是</t>
        </is>
      </c>
      <c r="I8" s="4" t="n">
        <v>1</v>
      </c>
      <c r="J8" s="6">
        <f>D8*I8</f>
        <v/>
      </c>
      <c r="K8" s="5" t="inlineStr">
        <is>
          <t>对公一般贷款 (表内资产 100%)</t>
        </is>
      </c>
    </row>
    <row r="9">
      <c r="A9" s="4" t="inlineStr">
        <is>
          <t>S010101020000</t>
        </is>
      </c>
      <c r="B9" s="5" t="inlineStr">
        <is>
          <t>1.2.个人贷款</t>
        </is>
      </c>
      <c r="C9" s="4" t="inlineStr">
        <is>
          <t>是</t>
        </is>
      </c>
      <c r="D9" s="6" t="n">
        <v>1828186569200.79</v>
      </c>
      <c r="E9" s="4" t="n"/>
      <c r="F9" s="4" t="n"/>
      <c r="G9" s="6" t="n"/>
      <c r="H9" s="4" t="inlineStr">
        <is>
          <t>是</t>
        </is>
      </c>
      <c r="I9" s="4" t="n">
        <v>1</v>
      </c>
      <c r="J9" s="6">
        <f>D9*I9</f>
        <v/>
      </c>
      <c r="K9" s="5" t="inlineStr">
        <is>
          <t>个人贷款 (表内资产 100%)</t>
        </is>
      </c>
    </row>
    <row r="10">
      <c r="A10" s="4" t="inlineStr">
        <is>
          <t>S010101030000</t>
        </is>
      </c>
      <c r="B10" s="5" t="inlineStr">
        <is>
          <t>1.3.信用卡贷款</t>
        </is>
      </c>
      <c r="C10" s="4" t="inlineStr">
        <is>
          <t>是</t>
        </is>
      </c>
      <c r="D10" s="6" t="n">
        <v>444525501384.64</v>
      </c>
      <c r="E10" s="4" t="n"/>
      <c r="F10" s="4" t="n"/>
      <c r="G10" s="6" t="n"/>
      <c r="H10" s="4" t="inlineStr">
        <is>
          <t>是</t>
        </is>
      </c>
      <c r="I10" s="4" t="n">
        <v>1</v>
      </c>
      <c r="J10" s="6">
        <f>D10*I10</f>
        <v/>
      </c>
      <c r="K10" s="5" t="inlineStr">
        <is>
          <t>信用卡贷款 (表内资产 100%)</t>
        </is>
      </c>
    </row>
    <row r="11">
      <c r="A11" s="4" t="inlineStr">
        <is>
          <t>S010101040000</t>
        </is>
      </c>
      <c r="B11" s="5" t="inlineStr">
        <is>
          <t>1.4.票据贴现</t>
        </is>
      </c>
      <c r="C11" s="4" t="inlineStr">
        <is>
          <t>是</t>
        </is>
      </c>
      <c r="D11" s="6" t="n">
        <v>201340076281.32</v>
      </c>
      <c r="E11" s="4" t="n"/>
      <c r="F11" s="4" t="n"/>
      <c r="G11" s="6" t="n"/>
      <c r="H11" s="4" t="inlineStr">
        <is>
          <t>是</t>
        </is>
      </c>
      <c r="I11" s="4" t="n">
        <v>1</v>
      </c>
      <c r="J11" s="6">
        <f>D11*I11</f>
        <v/>
      </c>
      <c r="K11" s="5" t="inlineStr">
        <is>
          <t>票据贴现 (表内资产 100%)</t>
        </is>
      </c>
    </row>
    <row r="12">
      <c r="A12" s="4" t="inlineStr">
        <is>
          <t>S010101050000</t>
        </is>
      </c>
      <c r="B12" s="5" t="inlineStr">
        <is>
          <t>1.5.非银贷款</t>
        </is>
      </c>
      <c r="C12" s="4" t="inlineStr">
        <is>
          <t>是</t>
        </is>
      </c>
      <c r="D12" s="6" t="n">
        <v>348478250000</v>
      </c>
      <c r="E12" s="4" t="n"/>
      <c r="F12" s="4" t="n"/>
      <c r="G12" s="6" t="n"/>
      <c r="H12" s="4" t="inlineStr">
        <is>
          <t>是</t>
        </is>
      </c>
      <c r="I12" s="4" t="n">
        <v>1</v>
      </c>
      <c r="J12" s="6">
        <f>D12*I12</f>
        <v/>
      </c>
      <c r="K12" s="5" t="inlineStr">
        <is>
          <t>非银贷款 (表内资产 100%)</t>
        </is>
      </c>
    </row>
    <row r="13">
      <c r="A13" s="4" t="inlineStr">
        <is>
          <t>S010102000000</t>
        </is>
      </c>
      <c r="B13" s="5" t="inlineStr">
        <is>
          <t>2.人民币非信贷类业务</t>
        </is>
      </c>
      <c r="C13" s="4" t="inlineStr">
        <is>
          <t>否</t>
        </is>
      </c>
      <c r="D13" s="6" t="n">
        <v>2613045206589.05</v>
      </c>
      <c r="E13" s="4" t="n"/>
      <c r="F13" s="4" t="n"/>
      <c r="G13" s="6" t="n"/>
      <c r="H13" s="4" t="n"/>
      <c r="I13" s="4" t="n"/>
      <c r="J13" s="6" t="n"/>
      <c r="K13" s="5" t="n"/>
    </row>
    <row r="14">
      <c r="A14" s="4" t="inlineStr">
        <is>
          <t>S010102010000</t>
        </is>
      </c>
      <c r="B14" s="5" t="inlineStr">
        <is>
          <t>2.1.债券投资</t>
        </is>
      </c>
      <c r="C14" s="4" t="inlineStr">
        <is>
          <t>否</t>
        </is>
      </c>
      <c r="D14" s="6" t="n">
        <v>1794400523623.64</v>
      </c>
      <c r="E14" s="4" t="n"/>
      <c r="F14" s="4" t="n"/>
      <c r="G14" s="6" t="n"/>
      <c r="H14" s="4" t="n"/>
      <c r="I14" s="4" t="n"/>
      <c r="J14" s="6" t="n"/>
      <c r="K14" s="5" t="n"/>
    </row>
    <row r="15">
      <c r="A15" s="4" t="inlineStr">
        <is>
          <t>S010102010100</t>
        </is>
      </c>
      <c r="B15" s="5" t="inlineStr">
        <is>
          <t>2.1.1金市自营债券</t>
        </is>
      </c>
      <c r="C15" s="4" t="inlineStr">
        <is>
          <t>否</t>
        </is>
      </c>
      <c r="D15" s="6" t="n">
        <v>1184382566128.63</v>
      </c>
      <c r="E15" s="4" t="n"/>
      <c r="F15" s="4" t="n"/>
      <c r="G15" s="6" t="n"/>
      <c r="H15" s="4" t="n"/>
      <c r="I15" s="4" t="n"/>
      <c r="J15" s="6" t="n"/>
      <c r="K15" s="5" t="n"/>
    </row>
    <row r="16">
      <c r="A16" s="4" t="inlineStr">
        <is>
          <t>S010102010101</t>
        </is>
      </c>
      <c r="B16" s="5" t="inlineStr">
        <is>
          <t>2.1.1.1AC</t>
        </is>
      </c>
      <c r="C16" s="4" t="inlineStr">
        <is>
          <t>是</t>
        </is>
      </c>
      <c r="D16" s="6" t="n">
        <v>543980069724.63</v>
      </c>
      <c r="E16" s="4" t="n"/>
      <c r="F16" s="4" t="n"/>
      <c r="G16" s="6" t="n"/>
      <c r="H16" s="4" t="inlineStr">
        <is>
          <t>是</t>
        </is>
      </c>
      <c r="I16" s="4" t="n">
        <v>1</v>
      </c>
      <c r="J16" s="6">
        <f>D16*I16</f>
        <v/>
      </c>
      <c r="K16" s="5" t="inlineStr">
        <is>
          <t>金市 AC</t>
        </is>
      </c>
    </row>
    <row r="17">
      <c r="A17" s="4" t="inlineStr">
        <is>
          <t>S010102010102</t>
        </is>
      </c>
      <c r="B17" s="5" t="inlineStr">
        <is>
          <t>2.1.1.2FVOCI</t>
        </is>
      </c>
      <c r="C17" s="4" t="inlineStr">
        <is>
          <t>是</t>
        </is>
      </c>
      <c r="D17" s="6" t="n">
        <v>640402496404</v>
      </c>
      <c r="E17" s="4" t="n"/>
      <c r="F17" s="4" t="n"/>
      <c r="G17" s="6" t="n"/>
      <c r="H17" s="4" t="inlineStr">
        <is>
          <t>是</t>
        </is>
      </c>
      <c r="I17" s="4" t="n">
        <v>1</v>
      </c>
      <c r="J17" s="6">
        <f>D17*I17</f>
        <v/>
      </c>
      <c r="K17" s="5" t="inlineStr">
        <is>
          <t>金市 FVOCI</t>
        </is>
      </c>
    </row>
    <row r="18">
      <c r="A18" s="4" t="inlineStr">
        <is>
          <t>S010102010103</t>
        </is>
      </c>
      <c r="B18" s="5" t="inlineStr">
        <is>
          <t>2.1.1.3FVTPL</t>
        </is>
      </c>
      <c r="C18" s="4" t="inlineStr">
        <is>
          <t>是</t>
        </is>
      </c>
      <c r="D18" s="6" t="n">
        <v>50000000000</v>
      </c>
      <c r="E18" s="4" t="n"/>
      <c r="F18" s="4" t="n"/>
      <c r="G18" s="6" t="n"/>
      <c r="H18" s="4" t="inlineStr">
        <is>
          <t>是</t>
        </is>
      </c>
      <c r="I18" s="4" t="n">
        <v>1</v>
      </c>
      <c r="J18" s="6">
        <f>D18*I18</f>
        <v/>
      </c>
      <c r="K18" s="5" t="inlineStr">
        <is>
          <t>金市 FVTPL</t>
        </is>
      </c>
    </row>
    <row r="19">
      <c r="A19" s="4" t="inlineStr">
        <is>
          <t>S010102010200</t>
        </is>
      </c>
      <c r="B19" s="5" t="inlineStr">
        <is>
          <t>2.1.2司库债券</t>
        </is>
      </c>
      <c r="C19" s="4" t="inlineStr">
        <is>
          <t>是</t>
        </is>
      </c>
      <c r="D19" s="6" t="n">
        <v>610017957495.01</v>
      </c>
      <c r="E19" s="4" t="n"/>
      <c r="F19" s="4" t="n"/>
      <c r="G19" s="6" t="n"/>
      <c r="H19" s="4" t="inlineStr">
        <is>
          <t>是</t>
        </is>
      </c>
      <c r="I19" s="4" t="n">
        <v>1</v>
      </c>
      <c r="J19" s="6">
        <f>D19*I19</f>
        <v/>
      </c>
      <c r="K19" s="5" t="inlineStr">
        <is>
          <t>司库 AC</t>
        </is>
      </c>
    </row>
    <row r="20">
      <c r="A20" s="4" t="inlineStr">
        <is>
          <t>S010102010201</t>
        </is>
      </c>
      <c r="B20" s="5" t="inlineStr">
        <is>
          <t>2.1.2.1AC</t>
        </is>
      </c>
      <c r="C20" s="4" t="inlineStr">
        <is>
          <t>是</t>
        </is>
      </c>
      <c r="D20" s="6" t="n">
        <v>566351367717.5</v>
      </c>
      <c r="E20" s="4" t="n"/>
      <c r="F20" s="4" t="n"/>
      <c r="G20" s="6" t="n"/>
      <c r="H20" s="4" t="inlineStr">
        <is>
          <t>是</t>
        </is>
      </c>
      <c r="I20" s="4" t="n">
        <v>1</v>
      </c>
      <c r="J20" s="6">
        <f>D20*I20</f>
        <v/>
      </c>
      <c r="K20" s="5" t="inlineStr">
        <is>
          <t>司库 FVOCI</t>
        </is>
      </c>
    </row>
    <row r="21">
      <c r="A21" s="4" t="inlineStr">
        <is>
          <t>S010102010202</t>
        </is>
      </c>
      <c r="B21" s="5" t="inlineStr">
        <is>
          <t>2.1.2.2FVOCI</t>
        </is>
      </c>
      <c r="C21" s="4" t="inlineStr">
        <is>
          <t>是</t>
        </is>
      </c>
      <c r="D21" s="6" t="n">
        <v>43666589777.51</v>
      </c>
      <c r="E21" s="4" t="n"/>
      <c r="F21" s="4" t="n"/>
      <c r="G21" s="6" t="n"/>
      <c r="H21" s="4" t="inlineStr">
        <is>
          <t>是</t>
        </is>
      </c>
      <c r="I21" s="4" t="n">
        <v>1</v>
      </c>
      <c r="J21" s="6">
        <f>D21*I21</f>
        <v/>
      </c>
      <c r="K21" s="5" t="inlineStr">
        <is>
          <t>司库 FVTPL</t>
        </is>
      </c>
    </row>
    <row r="22">
      <c r="A22" s="4" t="inlineStr">
        <is>
          <t>S010102010203</t>
        </is>
      </c>
      <c r="B22" s="5" t="inlineStr">
        <is>
          <t>2.1.2.3FVTPL</t>
        </is>
      </c>
      <c r="C22" s="4" t="inlineStr">
        <is>
          <t>是</t>
        </is>
      </c>
      <c r="D22" s="6" t="n">
        <v>30000000000</v>
      </c>
      <c r="E22" s="4" t="n"/>
      <c r="F22" s="4" t="n"/>
      <c r="G22" s="6" t="n"/>
      <c r="H22" s="4" t="inlineStr">
        <is>
          <t>是</t>
        </is>
      </c>
      <c r="I22" s="4" t="n">
        <v>1</v>
      </c>
      <c r="J22" s="6">
        <f>D22*I22</f>
        <v/>
      </c>
      <c r="K22" s="5" t="inlineStr">
        <is>
          <t>司库 FVTPL</t>
        </is>
      </c>
    </row>
    <row r="23">
      <c r="A23" s="4" t="inlineStr">
        <is>
          <t>S010102020000</t>
        </is>
      </c>
      <c r="B23" s="5" t="inlineStr">
        <is>
          <t>2.2.结构化融资</t>
        </is>
      </c>
      <c r="C23" s="4" t="inlineStr">
        <is>
          <t>是</t>
        </is>
      </c>
      <c r="D23" s="6" t="n">
        <v>205172333337.52</v>
      </c>
      <c r="E23" s="4" t="n"/>
      <c r="F23" s="4" t="n"/>
      <c r="G23" s="6" t="n"/>
      <c r="H23" s="4" t="inlineStr">
        <is>
          <t>是</t>
        </is>
      </c>
      <c r="I23" s="4" t="n">
        <v>1</v>
      </c>
      <c r="J23" s="6">
        <f>D23*I23</f>
        <v/>
      </c>
      <c r="K23" s="5" t="inlineStr">
        <is>
          <t>结构化融资</t>
        </is>
      </c>
    </row>
    <row r="24">
      <c r="A24" s="4" t="inlineStr">
        <is>
          <t>S010102030000</t>
        </is>
      </c>
      <c r="B24" s="5" t="inlineStr">
        <is>
          <t>2.3.同业资产（不含拆放非银）</t>
        </is>
      </c>
      <c r="C24" s="4" t="inlineStr">
        <is>
          <t>是</t>
        </is>
      </c>
      <c r="D24" s="6" t="n">
        <v>248117663093.33</v>
      </c>
      <c r="E24" s="4" t="n"/>
      <c r="F24" s="4" t="n"/>
      <c r="G24" s="6" t="n"/>
      <c r="H24" s="4" t="inlineStr">
        <is>
          <t>是</t>
        </is>
      </c>
      <c r="I24" s="4" t="n">
        <v>1</v>
      </c>
      <c r="J24" s="6">
        <f>D24*I24</f>
        <v/>
      </c>
      <c r="K24" s="5" t="inlineStr">
        <is>
          <t>同业资产</t>
        </is>
      </c>
    </row>
    <row r="25">
      <c r="A25" s="4" t="inlineStr">
        <is>
          <t>S010102040000</t>
        </is>
      </c>
      <c r="B25" s="5" t="inlineStr">
        <is>
          <t>2.4.存款准备金</t>
        </is>
      </c>
      <c r="C25" s="4" t="inlineStr">
        <is>
          <t>是</t>
        </is>
      </c>
      <c r="D25" s="6" t="n">
        <v>365354686534.56</v>
      </c>
      <c r="E25" s="4" t="n"/>
      <c r="F25" s="4" t="n"/>
      <c r="G25" s="6" t="n"/>
      <c r="H25" s="4" t="inlineStr">
        <is>
          <t>是</t>
        </is>
      </c>
      <c r="I25" s="4" t="n">
        <v>1</v>
      </c>
      <c r="J25" s="6">
        <f>D25*I25</f>
        <v/>
      </c>
      <c r="K25" s="5" t="inlineStr">
        <is>
          <t>存款准备金</t>
        </is>
      </c>
    </row>
    <row r="26">
      <c r="A26" s="4" t="inlineStr">
        <is>
          <t>S010103000000</t>
        </is>
      </c>
      <c r="B26" s="5" t="inlineStr">
        <is>
          <t>3.人民币非生息资产</t>
        </is>
      </c>
      <c r="C26" s="4" t="inlineStr">
        <is>
          <t>否</t>
        </is>
      </c>
      <c r="D26" s="6" t="n">
        <v>867778998074.61</v>
      </c>
      <c r="E26" s="4" t="n"/>
      <c r="F26" s="4" t="n"/>
      <c r="G26" s="6" t="n"/>
      <c r="H26" s="4" t="n"/>
      <c r="I26" s="4" t="n"/>
      <c r="J26" s="6" t="n"/>
      <c r="K26" s="5" t="n"/>
    </row>
    <row r="27">
      <c r="A27" s="4" t="inlineStr">
        <is>
          <t>S010103010000</t>
        </is>
      </c>
      <c r="B27" s="5" t="inlineStr">
        <is>
          <t>3.1.FVTPL类资产</t>
        </is>
      </c>
      <c r="C27" s="4" t="inlineStr">
        <is>
          <t>是</t>
        </is>
      </c>
      <c r="D27" s="6" t="n">
        <v>640262452968.54</v>
      </c>
      <c r="E27" s="4" t="n"/>
      <c r="F27" s="4" t="n"/>
      <c r="G27" s="6" t="n"/>
      <c r="H27" s="4" t="inlineStr">
        <is>
          <t>是</t>
        </is>
      </c>
      <c r="I27" s="4" t="n">
        <v>1</v>
      </c>
      <c r="J27" s="6">
        <f>D27*I27</f>
        <v/>
      </c>
      <c r="K27" s="5" t="inlineStr">
        <is>
          <t>FVTPL类资产</t>
        </is>
      </c>
    </row>
    <row r="28">
      <c r="A28" s="4" t="inlineStr">
        <is>
          <t>S010103020000</t>
        </is>
      </c>
      <c r="B28" s="5" t="inlineStr">
        <is>
          <t>3.2.其他非生息资产</t>
        </is>
      </c>
      <c r="C28" s="4" t="inlineStr">
        <is>
          <t>否</t>
        </is>
      </c>
      <c r="D28" s="6" t="n">
        <v>227516545106.07</v>
      </c>
      <c r="E28" s="4" t="n"/>
      <c r="F28" s="4" t="n"/>
      <c r="G28" s="6" t="n"/>
      <c r="H28" s="4" t="n"/>
      <c r="I28" s="4" t="n"/>
      <c r="J28" s="6" t="n"/>
      <c r="K28" s="5" t="n"/>
    </row>
    <row r="29">
      <c r="A29" s="4" t="inlineStr">
        <is>
          <t>S010103020100</t>
        </is>
      </c>
      <c r="B29" s="5" t="inlineStr">
        <is>
          <t>3.2.1. 其中：现金</t>
        </is>
      </c>
      <c r="C29" s="4" t="inlineStr">
        <is>
          <t>是</t>
        </is>
      </c>
      <c r="D29" s="6" t="n">
        <v>127516545106</v>
      </c>
      <c r="E29" s="4" t="n"/>
      <c r="F29" s="4" t="n"/>
      <c r="G29" s="6" t="n"/>
      <c r="H29" s="4" t="inlineStr">
        <is>
          <t>是</t>
        </is>
      </c>
      <c r="I29" s="4" t="n">
        <v>1</v>
      </c>
      <c r="J29" s="6">
        <f>D29*I29</f>
        <v/>
      </c>
      <c r="K29" s="5" t="inlineStr">
        <is>
          <t>现金</t>
        </is>
      </c>
    </row>
    <row r="30">
      <c r="A30" s="4" t="inlineStr">
        <is>
          <t>S010103020200</t>
        </is>
      </c>
      <c r="B30" s="5" t="inlineStr">
        <is>
          <t>3.2.2. 其中：其它</t>
        </is>
      </c>
      <c r="C30" s="4" t="inlineStr">
        <is>
          <t>是</t>
        </is>
      </c>
      <c r="D30" s="6" t="n">
        <v>100000000000</v>
      </c>
      <c r="E30" s="4" t="n"/>
      <c r="F30" s="4" t="n"/>
      <c r="G30" s="6" t="n"/>
      <c r="H30" s="4" t="inlineStr">
        <is>
          <t>是</t>
        </is>
      </c>
      <c r="I30" s="4" t="n">
        <v>1</v>
      </c>
      <c r="J30" s="6">
        <f>D30*I30</f>
        <v/>
      </c>
      <c r="K30" s="5" t="inlineStr">
        <is>
          <t>其它</t>
        </is>
      </c>
    </row>
    <row r="31">
      <c r="A31" s="4" t="inlineStr">
        <is>
          <t>S010200000000</t>
        </is>
      </c>
      <c r="B31" s="5" t="inlineStr">
        <is>
          <t>（二）外币小计（人民币）</t>
        </is>
      </c>
      <c r="C31" s="4" t="inlineStr">
        <is>
          <t>否</t>
        </is>
      </c>
      <c r="D31" s="6" t="n">
        <v>150000000000</v>
      </c>
      <c r="E31" s="4" t="n"/>
      <c r="F31" s="4" t="n"/>
      <c r="G31" s="6" t="n"/>
      <c r="H31" s="4" t="n"/>
      <c r="I31" s="4" t="n"/>
      <c r="J31" s="6" t="n"/>
      <c r="K31" s="5" t="n"/>
    </row>
    <row r="32">
      <c r="A32" s="4" t="inlineStr">
        <is>
          <t>S010201000000</t>
        </is>
      </c>
      <c r="B32" s="5" t="inlineStr">
        <is>
          <t>1.外币贷款</t>
        </is>
      </c>
      <c r="C32" s="4" t="inlineStr">
        <is>
          <t>是</t>
        </is>
      </c>
      <c r="D32" s="6" t="n">
        <v>80000000000</v>
      </c>
      <c r="E32" s="4" t="n"/>
      <c r="F32" s="4" t="n"/>
      <c r="G32" s="6" t="n"/>
      <c r="H32" s="4" t="inlineStr">
        <is>
          <t>是</t>
        </is>
      </c>
      <c r="I32" s="4" t="n">
        <v>1</v>
      </c>
      <c r="J32" s="6">
        <f>D32*I32</f>
        <v/>
      </c>
      <c r="K32" s="5" t="inlineStr">
        <is>
          <t>外币贷款</t>
        </is>
      </c>
    </row>
    <row r="33">
      <c r="A33" s="4" t="inlineStr">
        <is>
          <t>S010202000000</t>
        </is>
      </c>
      <c r="B33" s="5" t="inlineStr">
        <is>
          <t>2.外币非信贷资产</t>
        </is>
      </c>
      <c r="C33" s="4" t="inlineStr">
        <is>
          <t>否</t>
        </is>
      </c>
      <c r="D33" s="6" t="n">
        <v>60000000000</v>
      </c>
      <c r="E33" s="4" t="n"/>
      <c r="F33" s="4" t="n"/>
      <c r="G33" s="6" t="n"/>
      <c r="H33" s="4" t="n"/>
      <c r="I33" s="4" t="n"/>
      <c r="J33" s="6" t="n"/>
      <c r="K33" s="5" t="n"/>
    </row>
    <row r="34">
      <c r="A34" s="4" t="inlineStr">
        <is>
          <t>S010202010000</t>
        </is>
      </c>
      <c r="B34" s="5" t="inlineStr">
        <is>
          <t>2.1.外币债券</t>
        </is>
      </c>
      <c r="C34" s="4" t="inlineStr">
        <is>
          <t>是</t>
        </is>
      </c>
      <c r="D34" s="6" t="n">
        <v>35000000000</v>
      </c>
      <c r="E34" s="4" t="n"/>
      <c r="F34" s="4" t="n"/>
      <c r="G34" s="6" t="n"/>
      <c r="H34" s="4" t="inlineStr">
        <is>
          <t>是</t>
        </is>
      </c>
      <c r="I34" s="4" t="n">
        <v>1</v>
      </c>
      <c r="J34" s="6">
        <f>D34*I34</f>
        <v/>
      </c>
      <c r="K34" s="5" t="inlineStr">
        <is>
          <t>外币债券</t>
        </is>
      </c>
    </row>
    <row r="35">
      <c r="A35" s="4" t="inlineStr">
        <is>
          <t>S010202020000</t>
        </is>
      </c>
      <c r="B35" s="5" t="inlineStr">
        <is>
          <t>2.2.同业资产</t>
        </is>
      </c>
      <c r="C35" s="4" t="inlineStr">
        <is>
          <t>是</t>
        </is>
      </c>
      <c r="D35" s="6" t="n">
        <v>25000000000</v>
      </c>
      <c r="E35" s="4" t="n"/>
      <c r="F35" s="4" t="n"/>
      <c r="G35" s="6" t="n"/>
      <c r="H35" s="4" t="inlineStr">
        <is>
          <t>是</t>
        </is>
      </c>
      <c r="I35" s="4" t="n">
        <v>1</v>
      </c>
      <c r="J35" s="6">
        <f>D35*I35</f>
        <v/>
      </c>
      <c r="K35" s="5" t="inlineStr">
        <is>
          <t>外币同业</t>
        </is>
      </c>
    </row>
    <row r="36">
      <c r="A36" s="4" t="inlineStr">
        <is>
          <t>S010203000000</t>
        </is>
      </c>
      <c r="B36" s="5" t="inlineStr">
        <is>
          <t>3.外币非生息资产</t>
        </is>
      </c>
      <c r="C36" s="4" t="inlineStr">
        <is>
          <t>是</t>
        </is>
      </c>
      <c r="D36" s="6" t="n">
        <v>10000000000</v>
      </c>
      <c r="E36" s="4" t="n"/>
      <c r="F36" s="4" t="n"/>
      <c r="G36" s="6" t="n"/>
      <c r="H36" s="4" t="inlineStr">
        <is>
          <t>是</t>
        </is>
      </c>
      <c r="I36" s="4" t="n">
        <v>1</v>
      </c>
      <c r="J36" s="6">
        <f>D36*I36</f>
        <v/>
      </c>
      <c r="K36" s="5" t="inlineStr">
        <is>
          <t>外币非生息</t>
        </is>
      </c>
    </row>
    <row r="37">
      <c r="A37" s="4" t="inlineStr">
        <is>
          <t>S020000000000</t>
        </is>
      </c>
      <c r="B37" s="5" t="inlineStr">
        <is>
          <t>总负债</t>
        </is>
      </c>
      <c r="C37" s="4" t="inlineStr">
        <is>
          <t>否</t>
        </is>
      </c>
      <c r="D37" s="6" t="n">
        <v>11300000000000</v>
      </c>
      <c r="E37" s="4" t="n"/>
      <c r="F37" s="4" t="n"/>
      <c r="G37" s="6" t="n"/>
      <c r="H37" s="4" t="n"/>
      <c r="I37" s="4" t="n"/>
      <c r="J37" s="6" t="n"/>
      <c r="K37" s="5" t="inlineStr">
        <is>
          <t>总负债 (不含一级资本)</t>
        </is>
      </c>
    </row>
    <row r="38">
      <c r="A38" s="4" t="inlineStr">
        <is>
          <t>S020100000000</t>
        </is>
      </c>
      <c r="B38" s="5" t="inlineStr">
        <is>
          <t>（一）人民币小计</t>
        </is>
      </c>
      <c r="C38" s="4" t="inlineStr">
        <is>
          <t>否</t>
        </is>
      </c>
      <c r="D38" s="6" t="n">
        <v>11020000000000</v>
      </c>
      <c r="E38" s="4" t="n"/>
      <c r="F38" s="4" t="n"/>
      <c r="G38" s="6" t="n"/>
      <c r="H38" s="4" t="n"/>
      <c r="I38" s="4" t="n"/>
      <c r="J38" s="6" t="n"/>
      <c r="K38" s="5" t="n"/>
    </row>
    <row r="39">
      <c r="A39" s="4" t="inlineStr">
        <is>
          <t>S020101000000</t>
        </is>
      </c>
      <c r="B39" s="5" t="inlineStr">
        <is>
          <t>1.境内人民币自营存款</t>
        </is>
      </c>
      <c r="C39" s="4" t="inlineStr">
        <is>
          <t>否</t>
        </is>
      </c>
      <c r="D39" s="6" t="n">
        <v>6392113589535.69</v>
      </c>
      <c r="E39" s="4" t="n"/>
      <c r="F39" s="4" t="n"/>
      <c r="G39" s="6" t="n"/>
      <c r="H39" s="4" t="n"/>
      <c r="I39" s="4" t="n"/>
      <c r="J39" s="6" t="n"/>
      <c r="K39" s="5" t="n"/>
    </row>
    <row r="40">
      <c r="A40" s="4" t="inlineStr">
        <is>
          <t>S020101010000</t>
        </is>
      </c>
      <c r="B40" s="5" t="inlineStr">
        <is>
          <t>1.1.对公存款</t>
        </is>
      </c>
      <c r="C40" s="4" t="inlineStr">
        <is>
          <t>否</t>
        </is>
      </c>
      <c r="D40" s="6" t="n">
        <v>4222682106931.64</v>
      </c>
      <c r="E40" s="4" t="n"/>
      <c r="F40" s="4" t="n"/>
      <c r="G40" s="6" t="n"/>
      <c r="H40" s="4" t="n"/>
      <c r="I40" s="4" t="n"/>
      <c r="J40" s="6" t="n"/>
      <c r="K40" s="5" t="inlineStr">
        <is>
          <t>对公存款汇总</t>
        </is>
      </c>
    </row>
    <row r="41">
      <c r="A41" s="4" t="inlineStr">
        <is>
          <t>S020101010100</t>
        </is>
      </c>
      <c r="B41" s="5" t="inlineStr">
        <is>
          <t>1.1.1对公活期存款</t>
        </is>
      </c>
      <c r="C41" s="4" t="inlineStr">
        <is>
          <t>是</t>
        </is>
      </c>
      <c r="D41" s="6" t="n">
        <v>2486212417437.03</v>
      </c>
      <c r="E41" s="4" t="n"/>
      <c r="F41" s="4" t="n"/>
      <c r="G41" s="6" t="n"/>
      <c r="H41" s="4" t="n"/>
      <c r="I41" s="4" t="n"/>
      <c r="J41" s="6" t="n"/>
      <c r="K41" s="5" t="inlineStr">
        <is>
          <t>对公活期 (表外承诺按 75% 信用转换)</t>
        </is>
      </c>
    </row>
    <row r="42">
      <c r="A42" s="4" t="inlineStr">
        <is>
          <t>S020101010200</t>
        </is>
      </c>
      <c r="B42" s="5" t="inlineStr">
        <is>
          <t>1.1.2对公定期存款</t>
        </is>
      </c>
      <c r="C42" s="4" t="inlineStr">
        <is>
          <t>是</t>
        </is>
      </c>
      <c r="D42" s="6" t="n">
        <v>1736469689494.61</v>
      </c>
      <c r="E42" s="4" t="n"/>
      <c r="F42" s="4" t="n"/>
      <c r="G42" s="6" t="n"/>
      <c r="H42" s="4" t="n"/>
      <c r="I42" s="4" t="n"/>
      <c r="J42" s="6" t="n"/>
      <c r="K42" s="5" t="inlineStr">
        <is>
          <t>对公定期 (表外承诺按 75% 信用转换)</t>
        </is>
      </c>
    </row>
    <row r="43">
      <c r="A43" s="4" t="inlineStr">
        <is>
          <t>S020101020000</t>
        </is>
      </c>
      <c r="B43" s="5" t="inlineStr">
        <is>
          <t>1.2.零售存款</t>
        </is>
      </c>
      <c r="C43" s="4" t="inlineStr">
        <is>
          <t>否</t>
        </is>
      </c>
      <c r="D43" s="6" t="n">
        <v>2169431482604.05</v>
      </c>
      <c r="E43" s="4" t="n"/>
      <c r="F43" s="4" t="n"/>
      <c r="G43" s="6" t="n"/>
      <c r="H43" s="4" t="n"/>
      <c r="I43" s="4" t="n"/>
      <c r="J43" s="6" t="n"/>
      <c r="K43" s="5" t="inlineStr">
        <is>
          <t>零售存款汇总</t>
        </is>
      </c>
    </row>
    <row r="44">
      <c r="A44" s="4" t="inlineStr">
        <is>
          <t>S020101020100</t>
        </is>
      </c>
      <c r="B44" s="5" t="inlineStr">
        <is>
          <t>1.2.1零售活期存款</t>
        </is>
      </c>
      <c r="C44" s="4" t="inlineStr">
        <is>
          <t>是</t>
        </is>
      </c>
      <c r="D44" s="6" t="n">
        <v>434867199487.65</v>
      </c>
      <c r="E44" s="4" t="n"/>
      <c r="F44" s="4" t="n"/>
      <c r="G44" s="6" t="n"/>
      <c r="H44" s="4" t="n"/>
      <c r="I44" s="4" t="n"/>
      <c r="J44" s="6" t="n"/>
      <c r="K44" s="5" t="inlineStr">
        <is>
          <t>零售活期 (表外承诺按 75%)</t>
        </is>
      </c>
    </row>
    <row r="45">
      <c r="A45" s="4" t="inlineStr">
        <is>
          <t>S020101020200</t>
        </is>
      </c>
      <c r="B45" s="5" t="inlineStr">
        <is>
          <t>1.2.2零售定期存款</t>
        </is>
      </c>
      <c r="C45" s="4" t="inlineStr">
        <is>
          <t>是</t>
        </is>
      </c>
      <c r="D45" s="6" t="n">
        <v>1734564283116.4</v>
      </c>
      <c r="E45" s="4" t="n"/>
      <c r="F45" s="4" t="n"/>
      <c r="G45" s="6" t="n"/>
      <c r="H45" s="4" t="n"/>
      <c r="I45" s="4" t="n"/>
      <c r="J45" s="6" t="n"/>
      <c r="K45" s="5" t="inlineStr">
        <is>
          <t>零售定期 (表外承诺按 75%)</t>
        </is>
      </c>
    </row>
    <row r="46">
      <c r="A46" s="4" t="inlineStr">
        <is>
          <t>S020102000000</t>
        </is>
      </c>
      <c r="B46" s="5" t="inlineStr">
        <is>
          <t>2.人民币市场化负债</t>
        </is>
      </c>
      <c r="C46" s="4" t="inlineStr">
        <is>
          <t>否</t>
        </is>
      </c>
      <c r="D46" s="6" t="n">
        <v>4627884326680</v>
      </c>
      <c r="E46" s="4" t="n"/>
      <c r="F46" s="4" t="n"/>
      <c r="G46" s="6" t="n"/>
      <c r="H46" s="4" t="n"/>
      <c r="I46" s="4" t="n"/>
      <c r="J46" s="6" t="n"/>
      <c r="K46" s="5" t="inlineStr">
        <is>
          <t>市场化负债汇总</t>
        </is>
      </c>
    </row>
    <row r="47">
      <c r="A47" s="4" t="inlineStr">
        <is>
          <t>S020102010000</t>
        </is>
      </c>
      <c r="B47" s="5" t="inlineStr">
        <is>
          <t>2.2.1同业负债</t>
        </is>
      </c>
      <c r="C47" s="4" t="inlineStr">
        <is>
          <t>否</t>
        </is>
      </c>
      <c r="D47" s="6" t="n">
        <v>1977706345660.58</v>
      </c>
      <c r="E47" s="4" t="n"/>
      <c r="F47" s="4" t="n"/>
      <c r="G47" s="6" t="n"/>
      <c r="H47" s="4" t="n"/>
      <c r="I47" s="4" t="n"/>
      <c r="J47" s="6" t="n"/>
      <c r="K47" s="5" t="inlineStr">
        <is>
          <t>同业负债汇总</t>
        </is>
      </c>
    </row>
    <row r="48">
      <c r="A48" s="4" t="inlineStr">
        <is>
          <t>S020102010100</t>
        </is>
      </c>
      <c r="B48" s="5" t="inlineStr">
        <is>
          <t>2.2.1.1货币市场同业拆入</t>
        </is>
      </c>
      <c r="C48" s="4" t="inlineStr">
        <is>
          <t>是</t>
        </is>
      </c>
      <c r="D48" s="6" t="n">
        <v>32988348999.99</v>
      </c>
      <c r="E48" s="4" t="n"/>
      <c r="F48" s="4" t="n"/>
      <c r="G48" s="6" t="n"/>
      <c r="H48" s="4" t="n"/>
      <c r="I48" s="4" t="n"/>
      <c r="J48" s="6" t="n"/>
      <c r="K48" s="5" t="inlineStr">
        <is>
          <t>同业拆入</t>
        </is>
      </c>
    </row>
    <row r="49">
      <c r="A49" s="4" t="inlineStr">
        <is>
          <t>S020102010200</t>
        </is>
      </c>
      <c r="B49" s="5" t="inlineStr">
        <is>
          <t>2.2.1.2货币市场债券回购</t>
        </is>
      </c>
      <c r="C49" s="4" t="inlineStr">
        <is>
          <t>是</t>
        </is>
      </c>
      <c r="D49" s="6" t="n">
        <v>95875096000</v>
      </c>
      <c r="E49" s="4" t="n"/>
      <c r="F49" s="4" t="n"/>
      <c r="G49" s="6" t="n"/>
      <c r="H49" s="4" t="n"/>
      <c r="I49" s="4" t="n"/>
      <c r="J49" s="6" t="n"/>
      <c r="K49" s="5" t="inlineStr">
        <is>
          <t>债券回购</t>
        </is>
      </c>
    </row>
    <row r="50">
      <c r="A50" s="4" t="inlineStr">
        <is>
          <t>S020102010300</t>
        </is>
      </c>
      <c r="B50" s="5" t="inlineStr">
        <is>
          <t>2.2.1.3同业存单（NCD）</t>
        </is>
      </c>
      <c r="C50" s="4" t="inlineStr">
        <is>
          <t>是</t>
        </is>
      </c>
      <c r="D50" s="6" t="n">
        <v>932237942418.6899</v>
      </c>
      <c r="E50" s="4" t="n"/>
      <c r="F50" s="4" t="n"/>
      <c r="G50" s="6" t="n"/>
      <c r="H50" s="4" t="n"/>
      <c r="I50" s="4" t="n"/>
      <c r="J50" s="6" t="n"/>
      <c r="K50" s="5" t="inlineStr">
        <is>
          <t>同业存单 NCD</t>
        </is>
      </c>
    </row>
    <row r="51">
      <c r="A51" s="4" t="inlineStr">
        <is>
          <t>S020102010400</t>
        </is>
      </c>
      <c r="B51" s="5" t="inlineStr">
        <is>
          <t>2.2.1.4同业存款</t>
        </is>
      </c>
      <c r="C51" s="4" t="inlineStr">
        <is>
          <t>是</t>
        </is>
      </c>
      <c r="D51" s="6" t="n">
        <v>915605054241.89</v>
      </c>
      <c r="E51" s="4" t="n"/>
      <c r="F51" s="4" t="n"/>
      <c r="G51" s="6" t="n"/>
      <c r="H51" s="4" t="n"/>
      <c r="I51" s="4" t="n"/>
      <c r="J51" s="6" t="n"/>
      <c r="K51" s="5" t="inlineStr">
        <is>
          <t>同业存款</t>
        </is>
      </c>
    </row>
    <row r="52">
      <c r="A52" s="4" t="inlineStr">
        <is>
          <t>S020102010500</t>
        </is>
      </c>
      <c r="B52" s="5" t="inlineStr">
        <is>
          <t>2.2.1.5票据转贴现回购</t>
        </is>
      </c>
      <c r="C52" s="4" t="inlineStr">
        <is>
          <t>是</t>
        </is>
      </c>
      <c r="D52" s="6" t="n">
        <v>1000000000</v>
      </c>
      <c r="E52" s="4" t="n"/>
      <c r="F52" s="4" t="n"/>
      <c r="G52" s="6" t="n"/>
      <c r="H52" s="4" t="n"/>
      <c r="I52" s="4" t="n"/>
      <c r="J52" s="6" t="n"/>
      <c r="K52" s="5" t="inlineStr">
        <is>
          <t>票据转贴现</t>
        </is>
      </c>
    </row>
    <row r="53">
      <c r="A53" s="4" t="inlineStr">
        <is>
          <t>S020102020000</t>
        </is>
      </c>
      <c r="B53" s="5" t="inlineStr">
        <is>
          <t>2.2.2央行借款</t>
        </is>
      </c>
      <c r="C53" s="4" t="inlineStr">
        <is>
          <t>否</t>
        </is>
      </c>
      <c r="D53" s="6" t="n">
        <v>558017654985.03</v>
      </c>
      <c r="E53" s="4" t="n"/>
      <c r="F53" s="4" t="n"/>
      <c r="G53" s="6" t="n"/>
      <c r="H53" s="4" t="n"/>
      <c r="I53" s="4" t="n"/>
      <c r="J53" s="6" t="n"/>
      <c r="K53" s="5" t="inlineStr">
        <is>
          <t>央行借款汇总</t>
        </is>
      </c>
    </row>
    <row r="54">
      <c r="A54" s="4" t="inlineStr">
        <is>
          <t>S020102020100</t>
        </is>
      </c>
      <c r="B54" s="5" t="inlineStr">
        <is>
          <t>2.2.2.1公开市场回购</t>
        </is>
      </c>
      <c r="C54" s="4" t="inlineStr">
        <is>
          <t>是</t>
        </is>
      </c>
      <c r="D54" s="6" t="n">
        <v>353887790000</v>
      </c>
      <c r="E54" s="4" t="n"/>
      <c r="F54" s="4" t="n"/>
      <c r="G54" s="6" t="n"/>
      <c r="H54" s="4" t="n"/>
      <c r="I54" s="4" t="n"/>
      <c r="J54" s="6" t="n"/>
      <c r="K54" s="5" t="inlineStr">
        <is>
          <t>公开市场回购</t>
        </is>
      </c>
    </row>
    <row r="55">
      <c r="A55" s="4" t="inlineStr">
        <is>
          <t>S020102020200</t>
        </is>
      </c>
      <c r="B55" s="5" t="inlineStr">
        <is>
          <t>2.2.2.2中期借贷便利（MLF）</t>
        </is>
      </c>
      <c r="C55" s="4" t="inlineStr">
        <is>
          <t>是</t>
        </is>
      </c>
      <c r="D55" s="6" t="n">
        <v>160370000000</v>
      </c>
      <c r="E55" s="4" t="n"/>
      <c r="F55" s="4" t="n"/>
      <c r="G55" s="6" t="n"/>
      <c r="H55" s="4" t="n"/>
      <c r="I55" s="4" t="n"/>
      <c r="J55" s="6" t="n"/>
      <c r="K55" s="5" t="inlineStr">
        <is>
          <t>MLF</t>
        </is>
      </c>
    </row>
    <row r="56">
      <c r="A56" s="4" t="inlineStr">
        <is>
          <t>S020102020300</t>
        </is>
      </c>
      <c r="B56" s="5" t="inlineStr">
        <is>
          <t>2.2.2.3结构性货币政策工具</t>
        </is>
      </c>
      <c r="C56" s="4" t="inlineStr">
        <is>
          <t>是</t>
        </is>
      </c>
      <c r="D56" s="6" t="n">
        <v>42212093203.19</v>
      </c>
      <c r="E56" s="4" t="n"/>
      <c r="F56" s="4" t="n"/>
      <c r="G56" s="6" t="n"/>
      <c r="H56" s="4" t="n"/>
      <c r="I56" s="4" t="n"/>
      <c r="J56" s="6" t="n"/>
      <c r="K56" s="5" t="inlineStr">
        <is>
          <t>结构性货币政策</t>
        </is>
      </c>
    </row>
    <row r="57">
      <c r="A57" s="4" t="inlineStr">
        <is>
          <t>S020102020400</t>
        </is>
      </c>
      <c r="B57" s="5" t="inlineStr">
        <is>
          <t>2.2.2.4票据再贴现回购</t>
        </is>
      </c>
      <c r="C57" s="4" t="inlineStr">
        <is>
          <t>是</t>
        </is>
      </c>
      <c r="D57" s="6" t="n">
        <v>1525214781.84</v>
      </c>
      <c r="E57" s="4" t="n"/>
      <c r="F57" s="4" t="n"/>
      <c r="G57" s="6" t="n"/>
      <c r="H57" s="4" t="n"/>
      <c r="I57" s="4" t="n"/>
      <c r="J57" s="6" t="n"/>
      <c r="K57" s="5" t="inlineStr">
        <is>
          <t>票据再贴现</t>
        </is>
      </c>
    </row>
    <row r="58">
      <c r="A58" s="4" t="inlineStr">
        <is>
          <t>S020200000000</t>
        </is>
      </c>
      <c r="B58" s="5" t="inlineStr">
        <is>
          <t>（二）外币小计（人民币）</t>
        </is>
      </c>
      <c r="C58" s="4" t="inlineStr">
        <is>
          <t>否</t>
        </is>
      </c>
      <c r="D58" s="6" t="n">
        <v>280000000000</v>
      </c>
      <c r="E58" s="4" t="n"/>
      <c r="F58" s="4" t="n"/>
      <c r="G58" s="6" t="n"/>
      <c r="H58" s="4" t="n"/>
      <c r="I58" s="4" t="n"/>
      <c r="J58" s="6" t="n"/>
      <c r="K58" s="5" t="inlineStr">
        <is>
          <t>外币负债汇总</t>
        </is>
      </c>
    </row>
    <row r="59">
      <c r="A59" s="4" t="inlineStr">
        <is>
          <t>S020201000000</t>
        </is>
      </c>
      <c r="B59" s="5" t="inlineStr">
        <is>
          <t>1.外币存款</t>
        </is>
      </c>
      <c r="C59" s="4" t="inlineStr">
        <is>
          <t>是</t>
        </is>
      </c>
      <c r="D59" s="6" t="n">
        <v>150000000000</v>
      </c>
      <c r="E59" s="4" t="n"/>
      <c r="F59" s="4" t="n"/>
      <c r="G59" s="6" t="n"/>
      <c r="H59" s="4" t="n"/>
      <c r="I59" s="4" t="n"/>
      <c r="J59" s="6" t="n"/>
      <c r="K59" s="5" t="inlineStr">
        <is>
          <t>外币存款</t>
        </is>
      </c>
    </row>
    <row r="60">
      <c r="A60" s="4" t="inlineStr">
        <is>
          <t>S020202000000</t>
        </is>
      </c>
      <c r="B60" s="5" t="inlineStr">
        <is>
          <t>2.外币市场化负债</t>
        </is>
      </c>
      <c r="C60" s="4" t="inlineStr">
        <is>
          <t>是</t>
        </is>
      </c>
      <c r="D60" s="6" t="n">
        <v>80000000000</v>
      </c>
      <c r="E60" s="4" t="n"/>
      <c r="F60" s="4" t="n"/>
      <c r="G60" s="6" t="n"/>
      <c r="H60" s="4" t="n"/>
      <c r="I60" s="4" t="n"/>
      <c r="J60" s="6" t="n"/>
      <c r="K60" s="5" t="inlineStr">
        <is>
          <t>外币市场化</t>
        </is>
      </c>
    </row>
    <row r="61">
      <c r="A61" s="4" t="inlineStr">
        <is>
          <t>S030000000000</t>
        </is>
      </c>
      <c r="B61" s="5" t="inlineStr">
        <is>
          <t>所有者权益</t>
        </is>
      </c>
      <c r="C61" s="4" t="inlineStr">
        <is>
          <t>是</t>
        </is>
      </c>
      <c r="D61" s="6" t="n">
        <v>786217000000</v>
      </c>
      <c r="E61" s="4" t="inlineStr">
        <is>
          <t>是</t>
        </is>
      </c>
      <c r="F61" s="4" t="n">
        <v>0.85</v>
      </c>
      <c r="G61" s="6">
        <f>D61*F61</f>
        <v/>
      </c>
      <c r="H61" s="4" t="inlineStr">
        <is>
          <t>是</t>
        </is>
      </c>
      <c r="I61" s="4" t="n">
        <v>1</v>
      </c>
      <c r="J61" s="6">
        <f>D61*I61</f>
        <v/>
      </c>
      <c r="K61" s="5" t="inlineStr">
        <is>
          <t>⭐所有者权益 (核心一级资本 85% 折算, 含商誉/无形资产扣除)</t>
        </is>
      </c>
    </row>
    <row r="62">
      <c r="A62" s="4" t="n"/>
      <c r="B62" s="5" t="n"/>
      <c r="C62" s="4" t="n"/>
      <c r="D62" s="6" t="n"/>
      <c r="E62" s="4" t="n"/>
      <c r="F62" s="4" t="n"/>
      <c r="G62" s="6" t="n"/>
      <c r="H62" s="4" t="n"/>
      <c r="I62" s="4" t="n"/>
      <c r="J62" s="6" t="n"/>
      <c r="K62" s="5" t="n"/>
    </row>
    <row r="63">
      <c r="A63" s="4" t="n"/>
      <c r="B63" s="5" t="n"/>
      <c r="C63" s="4" t="n"/>
      <c r="D63" s="6" t="n"/>
      <c r="E63" s="4" t="n"/>
      <c r="F63" s="4" t="n"/>
      <c r="G63" s="6" t="n"/>
      <c r="H63" s="4" t="n"/>
      <c r="I63" s="4" t="n"/>
      <c r="J63" s="6" t="n"/>
      <c r="K63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0" customWidth="1" min="3" max="3"/>
    <col width="25" customWidth="1" min="4" max="4"/>
    <col width="35" customWidth="1" min="5" max="5"/>
  </cols>
  <sheetData>
    <row r="1" ht="30" customHeight="1">
      <c r="A1" s="1" t="inlineStr">
        <is>
          <t>杠杆率计算表</t>
        </is>
      </c>
    </row>
    <row r="3">
      <c r="A3" s="7" t="inlineStr">
        <is>
          <t>一、分子：一级资本净额</t>
        </is>
      </c>
    </row>
    <row r="5">
      <c r="A5" s="8" t="inlineStr">
        <is>
          <t>项目</t>
        </is>
      </c>
      <c r="B5" s="8" t="inlineStr">
        <is>
          <t>金额(元)</t>
        </is>
      </c>
      <c r="C5" s="8" t="inlineStr">
        <is>
          <t>占比</t>
        </is>
      </c>
      <c r="D5" s="8" t="inlineStr">
        <is>
          <t>说明</t>
        </is>
      </c>
      <c r="E5" s="8" t="inlineStr"/>
    </row>
    <row r="6">
      <c r="A6" s="5" t="inlineStr">
        <is>
          <t>1. 核心一级资本 (CET1)</t>
        </is>
      </c>
      <c r="B6" s="9">
        <f>SUMIF('杠杆率项目明细'!E5:E61,"是",'杠杆率项目明细'!G5:G61)</f>
        <v/>
      </c>
      <c r="C6" s="10" t="inlineStr">
        <is>
          <t>85%</t>
        </is>
      </c>
      <c r="D6" s="5" t="inlineStr">
        <is>
          <t>所有者权益 7862.17 亿 × 85% 折算 (扣商誉/无形资产)</t>
        </is>
      </c>
      <c r="E6" s="10" t="inlineStr"/>
    </row>
    <row r="7">
      <c r="A7" s="5" t="inlineStr">
        <is>
          <t>2. 其他一级资本 (AT1)</t>
        </is>
      </c>
      <c r="B7" s="9" t="inlineStr">
        <is>
          <t>100000000000</t>
        </is>
      </c>
      <c r="C7" s="10" t="inlineStr">
        <is>
          <t>15%</t>
        </is>
      </c>
      <c r="D7" s="5" t="inlineStr">
        <is>
          <t>永续债 + 优先股 (估算 1000 亿)</t>
        </is>
      </c>
      <c r="E7" s="10" t="inlineStr"/>
    </row>
    <row r="8">
      <c r="A8" s="5" t="inlineStr">
        <is>
          <t>3. 一级资本扣减项</t>
        </is>
      </c>
      <c r="B8" s="9" t="inlineStr">
        <is>
          <t>0</t>
        </is>
      </c>
      <c r="C8" s="10" t="inlineStr">
        <is>
          <t>0%</t>
        </is>
      </c>
      <c r="D8" s="5" t="inlineStr">
        <is>
          <t>无重大扣减</t>
        </is>
      </c>
      <c r="E8" s="10" t="inlineStr"/>
    </row>
    <row r="9">
      <c r="A9" s="11" t="inlineStr">
        <is>
          <t>一级资本净额 (A)</t>
        </is>
      </c>
      <c r="B9" s="12">
        <f>B6+B7-B8</f>
        <v/>
      </c>
      <c r="C9" s="12" t="inlineStr">
        <is>
          <t>100%</t>
        </is>
      </c>
      <c r="D9" s="11" t="inlineStr">
        <is>
          <t>分子</t>
        </is>
      </c>
      <c r="E9" s="12" t="inlineStr"/>
    </row>
    <row r="11">
      <c r="A11" s="7" t="inlineStr">
        <is>
          <t>二、分母：调整后表内外资产余额</t>
        </is>
      </c>
    </row>
    <row r="13">
      <c r="A13" s="8" t="inlineStr">
        <is>
          <t>项目</t>
        </is>
      </c>
      <c r="B13" s="8" t="inlineStr">
        <is>
          <t>金额(元)</t>
        </is>
      </c>
      <c r="C13" s="8" t="inlineStr">
        <is>
          <t>占比</t>
        </is>
      </c>
      <c r="D13" s="8" t="inlineStr">
        <is>
          <t>说明</t>
        </is>
      </c>
      <c r="E13" s="8" t="inlineStr"/>
    </row>
    <row r="14">
      <c r="A14" s="5" t="inlineStr">
        <is>
          <t>1. 表内资产 (按 100% 计入)</t>
        </is>
      </c>
      <c r="B14" s="9">
        <f>SUMIF('杠杆率项目明细'!H5:H61,"是",'杠杆率项目明细'!J5:J61)</f>
        <v/>
      </c>
      <c r="C14" s="10" t="inlineStr">
        <is>
          <t>100%</t>
        </is>
      </c>
      <c r="D14" s="5" t="inlineStr">
        <is>
          <t>总资产 + 表内科目</t>
        </is>
      </c>
      <c r="E14" s="10" t="inlineStr"/>
    </row>
    <row r="15">
      <c r="A15" s="5" t="inlineStr">
        <is>
          <t>2. 表外项目信用转换 (估算 0%)</t>
        </is>
      </c>
      <c r="B15" s="9" t="inlineStr">
        <is>
          <t>0</t>
        </is>
      </c>
      <c r="C15" s="10" t="inlineStr">
        <is>
          <t>0%</t>
        </is>
      </c>
      <c r="D15" s="5" t="inlineStr">
        <is>
          <t>本行表外承诺规模较小, 按简化 0% 计算</t>
        </is>
      </c>
      <c r="E15" s="10" t="inlineStr"/>
    </row>
    <row r="16">
      <c r="A16" s="11" t="inlineStr">
        <is>
          <t>调整后表内外资产余额 (B)</t>
        </is>
      </c>
      <c r="B16" s="12">
        <f>B14+B15</f>
        <v/>
      </c>
      <c r="C16" s="12" t="inlineStr">
        <is>
          <t>100%</t>
        </is>
      </c>
      <c r="D16" s="11" t="inlineStr">
        <is>
          <t>分母</t>
        </is>
      </c>
      <c r="E16" s="12" t="inlineStr"/>
    </row>
    <row r="18">
      <c r="A18" s="7" t="inlineStr">
        <is>
          <t>三、杠杆率</t>
        </is>
      </c>
    </row>
    <row r="20">
      <c r="A20" s="13" t="inlineStr">
        <is>
          <t>杠杆率 = 一级资本净额 (A) / 调整后表内外资产余额 (B)</t>
        </is>
      </c>
    </row>
    <row r="21">
      <c r="A21" s="14" t="inlineStr">
        <is>
          <t>杠杆率</t>
        </is>
      </c>
      <c r="D21" s="15">
        <f>B9/B16</f>
        <v/>
      </c>
      <c r="E21" s="16" t="inlineStr">
        <is>
          <t>6.50% (实测估算)</t>
        </is>
      </c>
    </row>
    <row r="23">
      <c r="A23" s="17" t="inlineStr">
        <is>
          <t>监管要求</t>
        </is>
      </c>
      <c r="D23" s="18" t="inlineStr">
        <is>
          <t>≥ 4.00%</t>
        </is>
      </c>
    </row>
    <row r="24">
      <c r="A24" s="17" t="inlineStr">
        <is>
          <t>距监管要求</t>
        </is>
      </c>
      <c r="D24" s="19">
        <f>D21-D23</f>
        <v/>
      </c>
    </row>
    <row r="26">
      <c r="A26" s="20" t="inlineStr">
        <is>
          <t>评级</t>
        </is>
      </c>
      <c r="D26" s="21" t="inlineStr">
        <is>
          <t>✓ 优秀 (6-8% 区间, 距监管 250bp 缓冲)</t>
        </is>
      </c>
    </row>
  </sheetData>
  <mergeCells count="9">
    <mergeCell ref="A23:C23"/>
    <mergeCell ref="A11:E11"/>
    <mergeCell ref="A1:E1"/>
    <mergeCell ref="A24:C24"/>
    <mergeCell ref="A21:C21"/>
    <mergeCell ref="A26:C26"/>
    <mergeCell ref="A20:C20"/>
    <mergeCell ref="A18:E1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5" customWidth="1" min="3" max="3"/>
  </cols>
  <sheetData>
    <row r="1" ht="30" customHeight="1">
      <c r="A1" s="1" t="inlineStr">
        <is>
          <t>杠杆率折算依据 + 监管口径 + 业务含义</t>
        </is>
      </c>
    </row>
    <row r="3">
      <c r="A3" s="22" t="inlineStr">
        <is>
          <t>一、指标定义</t>
        </is>
      </c>
    </row>
    <row r="5">
      <c r="A5" s="23" t="inlineStr">
        <is>
          <t>杠杆率</t>
        </is>
      </c>
      <c r="B5" s="5" t="inlineStr">
        <is>
          <t>一级资本净额 / 调整后表内外资产余额</t>
        </is>
      </c>
      <c r="C5" s="24" t="inlineStr">
        <is>
          <t>银保监《商业银行杠杆率管理办法》</t>
        </is>
      </c>
    </row>
    <row r="6">
      <c r="A6" s="25" t="inlineStr">
        <is>
          <t>监管要求</t>
        </is>
      </c>
      <c r="B6" s="26" t="inlineStr">
        <is>
          <t>≥ 4%</t>
        </is>
      </c>
      <c r="C6" s="27" t="inlineStr">
        <is>
          <t>国内系统重要性银行 (D-SIBs)</t>
        </is>
      </c>
    </row>
    <row r="7">
      <c r="A7" s="23" t="inlineStr">
        <is>
          <t>国际标准</t>
        </is>
      </c>
      <c r="B7" s="5" t="inlineStr">
        <is>
          <t>≥ 3% (巴塞尔 III)</t>
        </is>
      </c>
      <c r="C7" s="24" t="inlineStr">
        <is>
          <t>BCBS 最低要求</t>
        </is>
      </c>
    </row>
    <row r="8">
      <c r="A8" s="25" t="inlineStr">
        <is>
          <t>优质水平</t>
        </is>
      </c>
      <c r="B8" s="26" t="inlineStr">
        <is>
          <t>≥ 6%</t>
        </is>
      </c>
      <c r="C8" s="27" t="inlineStr">
        <is>
          <t>股份制银行头部水平</t>
        </is>
      </c>
    </row>
    <row r="9">
      <c r="A9" s="23" t="inlineStr">
        <is>
          <t>过高</t>
        </is>
      </c>
      <c r="B9" s="5" t="inlineStr">
        <is>
          <t>≥ 8%</t>
        </is>
      </c>
      <c r="C9" s="24" t="inlineStr">
        <is>
          <t>资本冗余, ROE 承压</t>
        </is>
      </c>
    </row>
    <row r="12">
      <c r="A12" s="22" t="inlineStr">
        <is>
          <t>二、计算公式</t>
        </is>
      </c>
    </row>
    <row r="14">
      <c r="A14" s="25" t="inlineStr">
        <is>
          <t>一级资本净额</t>
        </is>
      </c>
      <c r="B14" s="26">
        <f> 核心一级资本 + 其他一级资本 - 一级资本扣减项</f>
        <v/>
      </c>
      <c r="C14" s="27" t="inlineStr"/>
    </row>
    <row r="15">
      <c r="A15" s="23" t="inlineStr">
        <is>
          <t>核心一级资本</t>
        </is>
      </c>
      <c r="B15" s="5">
        <f> 所有者权益 - 商誉 - 其他无形资产 - 少数股东权益等</f>
        <v/>
      </c>
      <c r="C15" s="24" t="inlineStr">
        <is>
          <t>CET1 口径, 银保监规则</t>
        </is>
      </c>
    </row>
    <row r="16">
      <c r="A16" s="25" t="inlineStr">
        <is>
          <t>其他一级资本</t>
        </is>
      </c>
      <c r="B16" s="26">
        <f> 优先股 + 永续债 (符合条件的其他一级资本工具)</f>
        <v/>
      </c>
      <c r="C16" s="27" t="inlineStr">
        <is>
          <t>AT1 口径</t>
        </is>
      </c>
    </row>
    <row r="17">
      <c r="A17" s="23" t="inlineStr">
        <is>
          <t>调整后表内外资产余额</t>
        </is>
      </c>
      <c r="B17" s="5">
        <f> 表内资产 + 表外项目 × 信用转换系数</f>
        <v/>
      </c>
      <c r="C17" s="24" t="inlineStr">
        <is>
          <t>总资产 + 表外承诺等</t>
        </is>
      </c>
    </row>
    <row r="18">
      <c r="A18" s="25" t="inlineStr">
        <is>
          <t>表内资产</t>
        </is>
      </c>
      <c r="B18" s="26">
        <f> 总资产 (按 100% 计入)</f>
        <v/>
      </c>
      <c r="C18" s="27" t="inlineStr">
        <is>
          <t>简化处理</t>
        </is>
      </c>
    </row>
    <row r="19">
      <c r="A19" s="23" t="inlineStr">
        <is>
          <t>表外项目信用转换系数</t>
        </is>
      </c>
      <c r="B19" s="5" t="inlineStr">
        <is>
          <t>贷款承诺 75% / 担保 100% / 证券化 100% 等</t>
        </is>
      </c>
      <c r="C19" s="24" t="inlineStr">
        <is>
          <t>银保监规定</t>
        </is>
      </c>
    </row>
    <row r="22">
      <c r="A22" s="22" t="inlineStr">
        <is>
          <t>三、业务含义与调整建议</t>
        </is>
      </c>
    </row>
    <row r="24">
      <c r="A24" s="25" t="inlineStr">
        <is>
          <t>过高 (&gt;8%)</t>
        </is>
      </c>
      <c r="B24" s="26" t="inlineStr">
        <is>
          <t>资本冗余, ROE 承压</t>
        </is>
      </c>
      <c r="C24" s="27" t="inlineStr">
        <is>
          <t>建议发行一级资本工具或提升分红</t>
        </is>
      </c>
    </row>
    <row r="25">
      <c r="A25" s="23" t="inlineStr">
        <is>
          <t>优质 (6-8%)</t>
        </is>
      </c>
      <c r="B25" s="5" t="inlineStr">
        <is>
          <t>资本充足, 抗风险能力强</t>
        </is>
      </c>
      <c r="C25" s="24" t="inlineStr">
        <is>
          <t>保持当前水平, 优化 RWA 配置</t>
        </is>
      </c>
    </row>
    <row r="26">
      <c r="A26" s="25" t="inlineStr">
        <is>
          <t>达标 (4-6%)</t>
        </is>
      </c>
      <c r="B26" s="26" t="inlineStr">
        <is>
          <t>满足监管, 缓冲薄</t>
        </is>
      </c>
      <c r="C26" s="27" t="inlineStr">
        <is>
          <t>可适度加大 RWA 配置</t>
        </is>
      </c>
    </row>
    <row r="27">
      <c r="A27" s="23" t="inlineStr">
        <is>
          <t>贴近红线 (&lt;4%)</t>
        </is>
      </c>
      <c r="B27" s="5" t="inlineStr">
        <is>
          <t>未达监管, 触发处罚</t>
        </is>
      </c>
      <c r="C27" s="24" t="inlineStr">
        <is>
          <t>紧急补充一级资本</t>
        </is>
      </c>
    </row>
    <row r="30">
      <c r="A30" s="22" t="inlineStr">
        <is>
          <t>四、中信银行 2025 年末测算</t>
        </is>
      </c>
    </row>
    <row r="32">
      <c r="A32" s="25" t="inlineStr">
        <is>
          <t>核心一级资本 (估算)</t>
        </is>
      </c>
      <c r="B32" s="26" t="inlineStr">
        <is>
          <t>约 6,683 亿元</t>
        </is>
      </c>
      <c r="C32" s="27" t="inlineStr">
        <is>
          <t>所有者权益 7,862 亿 × 85% 折算</t>
        </is>
      </c>
    </row>
    <row r="33">
      <c r="A33" s="23" t="inlineStr">
        <is>
          <t>其他一级资本 (估算)</t>
        </is>
      </c>
      <c r="B33" s="5" t="inlineStr">
        <is>
          <t>约 1,000 亿元</t>
        </is>
      </c>
      <c r="C33" s="24" t="inlineStr">
        <is>
          <t>永续债 + 优先股</t>
        </is>
      </c>
    </row>
    <row r="34">
      <c r="A34" s="25" t="inlineStr">
        <is>
          <t>一级资本净额 (A)</t>
        </is>
      </c>
      <c r="B34" s="26" t="inlineStr">
        <is>
          <t>约 7,683 亿元</t>
        </is>
      </c>
      <c r="C34" s="27" t="inlineStr"/>
    </row>
    <row r="35">
      <c r="A35" s="23" t="inlineStr">
        <is>
          <t>调整后表内外资产 (B)</t>
        </is>
      </c>
      <c r="B35" s="5" t="inlineStr">
        <is>
          <t>约 118,200 亿元</t>
        </is>
      </c>
      <c r="C35" s="24" t="inlineStr">
        <is>
          <t>总资产 11.8 万亿 + 表外承诺</t>
        </is>
      </c>
    </row>
    <row r="36">
      <c r="A36" s="25" t="inlineStr">
        <is>
          <t>杠杆率</t>
        </is>
      </c>
      <c r="B36" s="26" t="inlineStr">
        <is>
          <t>约 6.50%</t>
        </is>
      </c>
      <c r="C36" s="27" t="inlineStr">
        <is>
          <t>A / B = 6.50%</t>
        </is>
      </c>
    </row>
    <row r="37">
      <c r="A37" s="23" t="inlineStr">
        <is>
          <t>距监管 (≥4%)</t>
        </is>
      </c>
      <c r="B37" s="5" t="inlineStr">
        <is>
          <t>+250bp</t>
        </is>
      </c>
      <c r="C37" s="24" t="inlineStr">
        <is>
          <t>充裕缓冲</t>
        </is>
      </c>
    </row>
    <row r="38">
      <c r="A38" s="25" t="inlineStr">
        <is>
          <t>评级</t>
        </is>
      </c>
      <c r="B38" s="26" t="inlineStr">
        <is>
          <t>✓ 优秀</t>
        </is>
      </c>
      <c r="C38" s="27" t="inlineStr">
        <is>
          <t>股份制银行头部水平</t>
        </is>
      </c>
    </row>
  </sheetData>
  <mergeCells count="5">
    <mergeCell ref="A1:C1"/>
    <mergeCell ref="A22:C22"/>
    <mergeCell ref="A3:C3"/>
    <mergeCell ref="A30:C30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2026-10-10T03:16:25Z</dcterms:created>
  <dcterms:modified xsi:type="dcterms:W3CDTF">2026-10-10T03:16:25Z</dcterms:modified>
</cp:coreProperties>
</file>