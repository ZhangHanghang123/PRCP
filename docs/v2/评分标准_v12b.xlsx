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name="0-500分评分标准" sheetId="1" state="visible" r:id="rId1"/>
    <sheet name="中信银行得分" sheetId="2" state="visible" r:id="rId2"/>
    <sheet name="评分规则说明" sheetId="3" state="visible" r:id="rId3"/>
    <sheet name="打分算法说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6"/>
    </font>
    <font>
      <name val="微软雅黑"/>
      <charset val="134"/>
      <b val="1"/>
      <color rgb="FFC7000B"/>
      <sz val="13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color rgb="FF555555"/>
      <sz val="10"/>
    </font>
    <font>
      <name val="微软雅黑"/>
      <charset val="134"/>
      <b val="1"/>
      <sz val="11"/>
    </font>
    <font>
      <name val="微软雅黑"/>
      <charset val="134"/>
      <b val="1"/>
      <color rgb="FFFFFFFF"/>
      <sz val="12"/>
    </font>
    <font>
      <name val="微软雅黑"/>
      <charset val="134"/>
      <b val="1"/>
      <color rgb="FFE65100"/>
      <sz val="12"/>
    </font>
    <font>
      <name val="微软雅黑"/>
      <charset val="134"/>
      <b val="1"/>
      <sz val="10"/>
    </font>
    <font>
      <name val="微软雅黑"/>
      <charset val="134"/>
      <b val="1"/>
      <color rgb="FFC7000B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55555"/>
      <sz val="10"/>
    </font>
    <font>
      <name val="微软雅黑"/>
      <b val="1"/>
      <color rgb="00C7000B"/>
      <sz val="13"/>
    </font>
    <font>
      <name val="微软雅黑"/>
      <color rgb="00555555"/>
      <sz val="10"/>
    </font>
    <font>
      <name val="微软雅黑"/>
      <b val="1"/>
      <color rgb="000070C0"/>
      <sz val="11"/>
    </font>
    <font>
      <name val="微软雅黑"/>
      <b val="1"/>
      <color rgb="00FFFFFF"/>
      <sz val="10"/>
    </font>
    <font>
      <name val="微软雅黑"/>
      <color rgb="00555555"/>
      <sz val="9"/>
    </font>
    <font>
      <name val="Consolas"/>
      <color rgb="000070C0"/>
      <sz val="9"/>
    </font>
  </fonts>
  <fills count="44">
    <fill>
      <patternFill/>
    </fill>
    <fill>
      <patternFill patternType="gray125"/>
    </fill>
    <fill>
      <patternFill patternType="solid">
        <fgColor rgb="FFC7000B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7000B"/>
      </patternFill>
    </fill>
    <fill>
      <patternFill patternType="solid">
        <fgColor rgb="00FFF3E0"/>
      </patternFill>
    </fill>
    <fill>
      <patternFill patternType="solid">
        <fgColor rgb="00FFFDE7"/>
      </patternFill>
    </fill>
  </fills>
  <borders count="2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DBDBD"/>
      </left>
      <right/>
      <top/>
      <bottom/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10" borderId="4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5" applyAlignment="1">
      <alignment vertical="center"/>
    </xf>
    <xf numFmtId="0" fontId="18" fillId="0" borderId="5" applyAlignment="1">
      <alignment vertical="center"/>
    </xf>
    <xf numFmtId="0" fontId="19" fillId="0" borderId="6" applyAlignment="1">
      <alignment vertical="center"/>
    </xf>
    <xf numFmtId="0" fontId="19" fillId="0" borderId="0" applyAlignment="1">
      <alignment vertical="center"/>
    </xf>
    <xf numFmtId="0" fontId="20" fillId="11" borderId="7" applyAlignment="1">
      <alignment vertical="center"/>
    </xf>
    <xf numFmtId="0" fontId="21" fillId="12" borderId="8" applyAlignment="1">
      <alignment vertical="center"/>
    </xf>
    <xf numFmtId="0" fontId="22" fillId="12" borderId="7" applyAlignment="1">
      <alignment vertical="center"/>
    </xf>
    <xf numFmtId="0" fontId="23" fillId="13" borderId="9" applyAlignment="1">
      <alignment vertical="center"/>
    </xf>
    <xf numFmtId="0" fontId="24" fillId="0" borderId="10" applyAlignment="1">
      <alignment vertical="center"/>
    </xf>
    <xf numFmtId="0" fontId="25" fillId="0" borderId="11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30" fillId="38" borderId="0" applyAlignment="1">
      <alignment vertical="center"/>
    </xf>
    <xf numFmtId="0" fontId="30" fillId="39" borderId="0" applyAlignment="1">
      <alignment vertical="center"/>
    </xf>
    <xf numFmtId="0" fontId="29" fillId="40" borderId="0" applyAlignment="1">
      <alignment vertical="center"/>
    </xf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6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5" pivotButton="0" quotePrefix="0" xfId="0"/>
    <xf numFmtId="0" fontId="0" fillId="0" borderId="16" pivotButton="0" quotePrefix="0" xfId="0"/>
    <xf numFmtId="0" fontId="31" fillId="41" borderId="0" applyAlignment="1" pivotButton="0" quotePrefix="0" xfId="0">
      <alignment horizontal="center" vertical="center"/>
    </xf>
    <xf numFmtId="0" fontId="32" fillId="42" borderId="0" applyAlignment="1" pivotButton="0" quotePrefix="0" xfId="0">
      <alignment horizontal="center" vertical="center"/>
    </xf>
    <xf numFmtId="0" fontId="33" fillId="42" borderId="17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/>
    </xf>
    <xf numFmtId="0" fontId="36" fillId="41" borderId="17" applyAlignment="1" pivotButton="0" quotePrefix="0" xfId="0">
      <alignment horizontal="center" vertical="center" wrapText="1"/>
    </xf>
    <xf numFmtId="0" fontId="37" fillId="0" borderId="17" applyAlignment="1" pivotButton="0" quotePrefix="0" xfId="0">
      <alignment horizontal="left" vertical="center" wrapText="1"/>
    </xf>
    <xf numFmtId="0" fontId="38" fillId="43" borderId="0" applyAlignment="1" pivotButton="0" quotePrefix="0" xfId="0">
      <alignment horizontal="left" vertical="center" wrapText="1"/>
    </xf>
    <xf numFmtId="0" fontId="38" fillId="0" borderId="17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tabSelected="1" workbookViewId="0">
      <pane ySplit="4" topLeftCell="A65" activePane="bottomLeft" state="frozen"/>
      <selection activeCell="A1" sqref="A1"/>
      <selection pane="bottomLeft" activeCell="K51" sqref="K51:K73"/>
    </sheetView>
  </sheetViews>
  <sheetFormatPr baseColWidth="8" defaultColWidth="9" defaultRowHeight="14"/>
  <cols>
    <col width="8" customWidth="1" min="1" max="1"/>
    <col width="14" customWidth="1" min="2" max="2"/>
    <col width="6" customWidth="1" min="3" max="3"/>
    <col width="12" customWidth="1" min="4" max="5"/>
    <col width="10" customWidth="1" min="6" max="7"/>
    <col width="40" customWidth="1" min="8" max="8"/>
    <col width="10" customWidth="1" min="9" max="9"/>
    <col width="12" customWidth="1" min="10" max="10"/>
    <col width="30" customWidth="1" min="11" max="11"/>
  </cols>
  <sheetData>
    <row r="1" ht="30" customHeight="1">
      <c r="A1" s="1" t="inlineStr">
        <is>
          <t>中信银行 7 指标 0-500 分评分规则 v12 (LCR / NSFR / EVE / CET1 / ROE / IBL / LR)   一期先做前5个指标</t>
        </is>
      </c>
    </row>
    <row r="2" ht="22" customHeight="1">
      <c r="A2" s="11" t="inlineStr">
        <is>
          <t>LCR 18% + NSFR 14% + EVE 13% + CET1 18% + ROE 13% + IBL 12% + LR 12% = 100% | 监管不达标 = 0 分 | 适度最优 = 500 分 | 实测: 中信银行 2025 年末 (ROE 用 2026 H1, LR=7.06%)</t>
        </is>
      </c>
    </row>
    <row r="4" ht="30" customHeight="1">
      <c r="A4" s="9" t="inlineStr">
        <is>
          <t>指标</t>
        </is>
      </c>
      <c r="B4" s="9" t="inlineStr">
        <is>
          <t>档位</t>
        </is>
      </c>
      <c r="C4" s="9" t="inlineStr">
        <is>
          <t>子段</t>
        </is>
      </c>
      <c r="D4" s="9" t="inlineStr">
        <is>
          <t>区间下限</t>
        </is>
      </c>
      <c r="E4" s="9" t="inlineStr">
        <is>
          <t>区间上限</t>
        </is>
      </c>
      <c r="F4" s="9" t="inlineStr">
        <is>
          <t>宽度</t>
        </is>
      </c>
      <c r="G4" s="9" t="inlineStr">
        <is>
          <t>得分</t>
        </is>
      </c>
      <c r="H4" s="9" t="inlineStr">
        <is>
          <t>评语</t>
        </is>
      </c>
      <c r="I4" s="9" t="inlineStr">
        <is>
          <t>距实测</t>
        </is>
      </c>
      <c r="J4" s="9" t="inlineStr">
        <is>
          <t>方向</t>
        </is>
      </c>
      <c r="K4" s="9" t="inlineStr">
        <is>
          <t>红线说明</t>
        </is>
      </c>
    </row>
    <row r="5" ht="16.5" customHeight="1">
      <c r="A5" s="17" t="inlineStr">
        <is>
          <t>LCR</t>
        </is>
      </c>
      <c r="B5" s="10" t="inlineStr">
        <is>
          <t>🔴 不达标</t>
        </is>
      </c>
      <c r="C5" s="10" t="n">
        <v>1</v>
      </c>
      <c r="D5" s="10" t="inlineStr">
        <is>
          <t>0.00%</t>
        </is>
      </c>
      <c r="E5" s="10" t="inlineStr">
        <is>
          <t>120.00%</t>
        </is>
      </c>
      <c r="F5" s="10" t="inlineStr">
        <is>
          <t>120.00pp</t>
        </is>
      </c>
      <c r="G5" s="18" t="n">
        <v>0</v>
      </c>
      <c r="H5" s="12" t="inlineStr">
        <is>
          <t>不达标 (≤红线)</t>
        </is>
      </c>
      <c r="I5" s="10" t="inlineStr">
        <is>
          <t>87.29pp</t>
        </is>
      </c>
      <c r="J5" s="17" t="inlineStr">
        <is>
          <t>越高越好</t>
        </is>
      </c>
      <c r="K5" s="17" t="inlineStr">
        <is>
          <t>&lt; 120% (本行底线, 监管 100%)</t>
        </is>
      </c>
    </row>
    <row r="6" ht="16.5" customHeight="1">
      <c r="A6" s="19" t="n"/>
      <c r="B6" s="10" t="inlineStr">
        <is>
          <t>🟠 危险</t>
        </is>
      </c>
      <c r="C6" s="10" t="n">
        <v>2</v>
      </c>
      <c r="D6" s="10" t="inlineStr">
        <is>
          <t>120.00%</t>
        </is>
      </c>
      <c r="E6" s="10" t="inlineStr">
        <is>
          <t>122.00%</t>
        </is>
      </c>
      <c r="F6" s="10" t="inlineStr">
        <is>
          <t>2.00pp</t>
        </is>
      </c>
      <c r="G6" s="20" t="n">
        <v>15</v>
      </c>
      <c r="H6" s="12" t="inlineStr">
        <is>
          <t>危险 0-150 分 (插值)</t>
        </is>
      </c>
      <c r="I6" s="10" t="inlineStr">
        <is>
          <t>26.29pp</t>
        </is>
      </c>
      <c r="J6" s="19" t="n"/>
      <c r="K6" s="19" t="n"/>
    </row>
    <row r="7" ht="16.5" customHeight="1">
      <c r="A7" s="19" t="n"/>
      <c r="B7" s="10" t="inlineStr">
        <is>
          <t>🟠 危险</t>
        </is>
      </c>
      <c r="C7" s="10" t="n">
        <v>3</v>
      </c>
      <c r="D7" s="10" t="inlineStr">
        <is>
          <t>122.00%</t>
        </is>
      </c>
      <c r="E7" s="10" t="inlineStr">
        <is>
          <t>124.00%</t>
        </is>
      </c>
      <c r="F7" s="10" t="inlineStr">
        <is>
          <t>2.00pp</t>
        </is>
      </c>
      <c r="G7" s="20" t="n">
        <v>45</v>
      </c>
      <c r="H7" s="12" t="inlineStr">
        <is>
          <t>危险 0-150 分 (插值)</t>
        </is>
      </c>
      <c r="I7" s="10" t="inlineStr">
        <is>
          <t>24.29pp</t>
        </is>
      </c>
      <c r="J7" s="19" t="n"/>
      <c r="K7" s="19" t="n"/>
    </row>
    <row r="8" ht="16.5" customHeight="1">
      <c r="A8" s="19" t="n"/>
      <c r="B8" s="10" t="inlineStr">
        <is>
          <t>🟠 危险</t>
        </is>
      </c>
      <c r="C8" s="10" t="n">
        <v>4</v>
      </c>
      <c r="D8" s="10" t="inlineStr">
        <is>
          <t>124.00%</t>
        </is>
      </c>
      <c r="E8" s="10" t="inlineStr">
        <is>
          <t>126.00%</t>
        </is>
      </c>
      <c r="F8" s="10" t="inlineStr">
        <is>
          <t>2.00pp</t>
        </is>
      </c>
      <c r="G8" s="20" t="n">
        <v>75</v>
      </c>
      <c r="H8" s="12" t="inlineStr">
        <is>
          <t>危险 0-150 分 (插值)</t>
        </is>
      </c>
      <c r="I8" s="10" t="inlineStr">
        <is>
          <t>22.29pp</t>
        </is>
      </c>
      <c r="J8" s="19" t="n"/>
      <c r="K8" s="19" t="n"/>
    </row>
    <row r="9" ht="16.5" customHeight="1">
      <c r="A9" s="19" t="n"/>
      <c r="B9" s="10" t="inlineStr">
        <is>
          <t>🟠 危险</t>
        </is>
      </c>
      <c r="C9" s="10" t="n">
        <v>5</v>
      </c>
      <c r="D9" s="10" t="inlineStr">
        <is>
          <t>126.00%</t>
        </is>
      </c>
      <c r="E9" s="10" t="inlineStr">
        <is>
          <t>128.00%</t>
        </is>
      </c>
      <c r="F9" s="10" t="inlineStr">
        <is>
          <t>2.00pp</t>
        </is>
      </c>
      <c r="G9" s="20" t="n">
        <v>105</v>
      </c>
      <c r="H9" s="12" t="inlineStr">
        <is>
          <t>危险 0-150 分 (插值)</t>
        </is>
      </c>
      <c r="I9" s="10" t="inlineStr">
        <is>
          <t>20.29pp</t>
        </is>
      </c>
      <c r="J9" s="19" t="n"/>
      <c r="K9" s="19" t="n"/>
    </row>
    <row r="10" ht="16.5" customHeight="1">
      <c r="A10" s="19" t="n"/>
      <c r="B10" s="10" t="inlineStr">
        <is>
          <t>🟠 危险</t>
        </is>
      </c>
      <c r="C10" s="10" t="n">
        <v>6</v>
      </c>
      <c r="D10" s="10" t="inlineStr">
        <is>
          <t>128.00%</t>
        </is>
      </c>
      <c r="E10" s="10" t="inlineStr">
        <is>
          <t>130.00%</t>
        </is>
      </c>
      <c r="F10" s="10" t="inlineStr">
        <is>
          <t>2.00pp</t>
        </is>
      </c>
      <c r="G10" s="20" t="n">
        <v>135</v>
      </c>
      <c r="H10" s="12" t="inlineStr">
        <is>
          <t>危险 0-150 分 (插值)</t>
        </is>
      </c>
      <c r="I10" s="10" t="inlineStr">
        <is>
          <t>18.29pp</t>
        </is>
      </c>
      <c r="J10" s="19" t="n"/>
      <c r="K10" s="19" t="n"/>
    </row>
    <row r="11" ht="16.5" customHeight="1">
      <c r="A11" s="19" t="n"/>
      <c r="B11" s="10" t="inlineStr">
        <is>
          <t>🟡 预警</t>
        </is>
      </c>
      <c r="C11" s="10" t="n">
        <v>7</v>
      </c>
      <c r="D11" s="10" t="inlineStr">
        <is>
          <t>130.00%</t>
        </is>
      </c>
      <c r="E11" s="10" t="inlineStr">
        <is>
          <t>132.00%</t>
        </is>
      </c>
      <c r="F11" s="10" t="inlineStr">
        <is>
          <t>2.00pp</t>
        </is>
      </c>
      <c r="G11" s="14" t="n">
        <v>165</v>
      </c>
      <c r="H11" s="12" t="inlineStr">
        <is>
          <t>预警 150-300 分 (插值)</t>
        </is>
      </c>
      <c r="I11" s="10" t="inlineStr">
        <is>
          <t>16.29pp</t>
        </is>
      </c>
      <c r="J11" s="19" t="n"/>
      <c r="K11" s="19" t="n"/>
    </row>
    <row r="12" ht="16.5" customHeight="1">
      <c r="A12" s="19" t="n"/>
      <c r="B12" s="10" t="inlineStr">
        <is>
          <t>🟡 预警</t>
        </is>
      </c>
      <c r="C12" s="10" t="n">
        <v>8</v>
      </c>
      <c r="D12" s="10" t="inlineStr">
        <is>
          <t>132.00%</t>
        </is>
      </c>
      <c r="E12" s="10" t="inlineStr">
        <is>
          <t>134.00%</t>
        </is>
      </c>
      <c r="F12" s="10" t="inlineStr">
        <is>
          <t>2.00pp</t>
        </is>
      </c>
      <c r="G12" s="14" t="n">
        <v>195</v>
      </c>
      <c r="H12" s="12" t="inlineStr">
        <is>
          <t>预警 150-300 分 (插值)</t>
        </is>
      </c>
      <c r="I12" s="10" t="inlineStr">
        <is>
          <t>14.29pp</t>
        </is>
      </c>
      <c r="J12" s="19" t="n"/>
      <c r="K12" s="19" t="n"/>
    </row>
    <row r="13" ht="16.5" customHeight="1">
      <c r="A13" s="19" t="n"/>
      <c r="B13" s="10" t="inlineStr">
        <is>
          <t>🟡 预警</t>
        </is>
      </c>
      <c r="C13" s="10" t="n">
        <v>9</v>
      </c>
      <c r="D13" s="10" t="inlineStr">
        <is>
          <t>134.00%</t>
        </is>
      </c>
      <c r="E13" s="10" t="inlineStr">
        <is>
          <t>136.00%</t>
        </is>
      </c>
      <c r="F13" s="10" t="inlineStr">
        <is>
          <t>2.00pp</t>
        </is>
      </c>
      <c r="G13" s="14" t="n">
        <v>225</v>
      </c>
      <c r="H13" s="12" t="inlineStr">
        <is>
          <t>预警 150-300 分 (插值)</t>
        </is>
      </c>
      <c r="I13" s="10" t="inlineStr">
        <is>
          <t>12.29pp</t>
        </is>
      </c>
      <c r="J13" s="19" t="n"/>
      <c r="K13" s="19" t="n"/>
    </row>
    <row r="14" ht="16.5" customHeight="1">
      <c r="A14" s="19" t="n"/>
      <c r="B14" s="10" t="inlineStr">
        <is>
          <t>🟡 预警</t>
        </is>
      </c>
      <c r="C14" s="10" t="n">
        <v>10</v>
      </c>
      <c r="D14" s="10" t="inlineStr">
        <is>
          <t>136.00%</t>
        </is>
      </c>
      <c r="E14" s="10" t="inlineStr">
        <is>
          <t>138.00%</t>
        </is>
      </c>
      <c r="F14" s="10" t="inlineStr">
        <is>
          <t>2.00pp</t>
        </is>
      </c>
      <c r="G14" s="14" t="n">
        <v>255</v>
      </c>
      <c r="H14" s="12" t="inlineStr">
        <is>
          <t>预警 150-300 分 (插值)</t>
        </is>
      </c>
      <c r="I14" s="10" t="inlineStr">
        <is>
          <t>10.29pp</t>
        </is>
      </c>
      <c r="J14" s="19" t="n"/>
      <c r="K14" s="19" t="n"/>
    </row>
    <row r="15" ht="16.5" customHeight="1">
      <c r="A15" s="19" t="n"/>
      <c r="B15" s="10" t="inlineStr">
        <is>
          <t>🟡 预警</t>
        </is>
      </c>
      <c r="C15" s="10" t="n">
        <v>11</v>
      </c>
      <c r="D15" s="10" t="inlineStr">
        <is>
          <t>138.00%</t>
        </is>
      </c>
      <c r="E15" s="10" t="inlineStr">
        <is>
          <t>140.00%</t>
        </is>
      </c>
      <c r="F15" s="10" t="inlineStr">
        <is>
          <t>2.00pp</t>
        </is>
      </c>
      <c r="G15" s="14" t="n">
        <v>285</v>
      </c>
      <c r="H15" s="12" t="inlineStr">
        <is>
          <t>预警 150-300 分 (插值)</t>
        </is>
      </c>
      <c r="I15" s="10" t="inlineStr">
        <is>
          <t>8.29pp</t>
        </is>
      </c>
      <c r="J15" s="19" t="n"/>
      <c r="K15" s="19" t="n"/>
    </row>
    <row r="16" ht="16.5" customHeight="1">
      <c r="A16" s="19" t="n"/>
      <c r="B16" s="10" t="inlineStr">
        <is>
          <t>🟢 安全</t>
        </is>
      </c>
      <c r="C16" s="10" t="n">
        <v>12</v>
      </c>
      <c r="D16" s="10" t="inlineStr">
        <is>
          <t>140.00%</t>
        </is>
      </c>
      <c r="E16" s="10" t="inlineStr">
        <is>
          <t>142.00%</t>
        </is>
      </c>
      <c r="F16" s="10" t="inlineStr">
        <is>
          <t>2.00pp</t>
        </is>
      </c>
      <c r="G16" s="13" t="n">
        <v>320</v>
      </c>
      <c r="H16" s="12" t="inlineStr">
        <is>
          <t>安全 300-500 分 (插值)</t>
        </is>
      </c>
      <c r="I16" s="10" t="inlineStr">
        <is>
          <t>6.29pp</t>
        </is>
      </c>
      <c r="J16" s="19" t="n"/>
      <c r="K16" s="19" t="n"/>
    </row>
    <row r="17" ht="16.5" customHeight="1">
      <c r="A17" s="19" t="n"/>
      <c r="B17" s="10" t="inlineStr">
        <is>
          <t>🟢 安全</t>
        </is>
      </c>
      <c r="C17" s="10" t="n">
        <v>13</v>
      </c>
      <c r="D17" s="10" t="inlineStr">
        <is>
          <t>142.00%</t>
        </is>
      </c>
      <c r="E17" s="10" t="inlineStr">
        <is>
          <t>144.00%</t>
        </is>
      </c>
      <c r="F17" s="10" t="inlineStr">
        <is>
          <t>2.00pp</t>
        </is>
      </c>
      <c r="G17" s="13" t="n">
        <v>360</v>
      </c>
      <c r="H17" s="12" t="inlineStr">
        <is>
          <t>安全 300-500 分 (插值)</t>
        </is>
      </c>
      <c r="I17" s="10" t="inlineStr">
        <is>
          <t>4.29pp</t>
        </is>
      </c>
      <c r="J17" s="19" t="n"/>
      <c r="K17" s="19" t="n"/>
    </row>
    <row r="18" ht="16.5" customHeight="1">
      <c r="A18" s="19" t="n"/>
      <c r="B18" s="10" t="inlineStr">
        <is>
          <t>🟢 安全</t>
        </is>
      </c>
      <c r="C18" s="10" t="n">
        <v>14</v>
      </c>
      <c r="D18" s="10" t="inlineStr">
        <is>
          <t>144.00%</t>
        </is>
      </c>
      <c r="E18" s="10" t="inlineStr">
        <is>
          <t>146.00%</t>
        </is>
      </c>
      <c r="F18" s="10" t="inlineStr">
        <is>
          <t>2.00pp</t>
        </is>
      </c>
      <c r="G18" s="13" t="n">
        <v>400</v>
      </c>
      <c r="H18" s="12" t="inlineStr">
        <is>
          <t>安全 300-500 分 (插值)</t>
        </is>
      </c>
      <c r="I18" s="10" t="inlineStr">
        <is>
          <t>2.29pp</t>
        </is>
      </c>
      <c r="J18" s="19" t="n"/>
      <c r="K18" s="19" t="n"/>
    </row>
    <row r="19" ht="16.5" customHeight="1">
      <c r="A19" s="19" t="n"/>
      <c r="B19" s="10" t="inlineStr">
        <is>
          <t>🟢 安全</t>
        </is>
      </c>
      <c r="C19" s="21" t="n">
        <v>15</v>
      </c>
      <c r="D19" s="10" t="inlineStr">
        <is>
          <t>146.00%</t>
        </is>
      </c>
      <c r="E19" s="10" t="inlineStr">
        <is>
          <t>148.00%</t>
        </is>
      </c>
      <c r="F19" s="10" t="inlineStr">
        <is>
          <t>2.00pp</t>
        </is>
      </c>
      <c r="G19" s="13" t="n">
        <v>440</v>
      </c>
      <c r="H19" s="22" t="inlineStr">
        <is>
          <t>安全 300-500 分 (插值)</t>
        </is>
      </c>
      <c r="I19" s="10" t="inlineStr">
        <is>
          <t>0.29pp</t>
        </is>
      </c>
      <c r="J19" s="19" t="n"/>
      <c r="K19" s="19" t="n"/>
    </row>
    <row r="20" ht="16.5" customHeight="1">
      <c r="A20" s="19" t="n"/>
      <c r="B20" s="10" t="inlineStr">
        <is>
          <t>🟢 安全</t>
        </is>
      </c>
      <c r="C20" s="10" t="n">
        <v>16</v>
      </c>
      <c r="D20" s="10" t="inlineStr">
        <is>
          <t>148.00%</t>
        </is>
      </c>
      <c r="E20" s="10" t="inlineStr">
        <is>
          <t>150.00%</t>
        </is>
      </c>
      <c r="F20" s="10" t="inlineStr">
        <is>
          <t>2.00pp</t>
        </is>
      </c>
      <c r="G20" s="13" t="n">
        <v>480</v>
      </c>
      <c r="H20" s="12" t="inlineStr">
        <is>
          <t>安全 300-500 分 (插值)</t>
        </is>
      </c>
      <c r="I20" s="10" t="inlineStr">
        <is>
          <t>1.71pp</t>
        </is>
      </c>
      <c r="J20" s="19" t="n"/>
      <c r="K20" s="19" t="n"/>
    </row>
    <row r="21" ht="16.5" customHeight="1">
      <c r="A21" s="19" t="n"/>
      <c r="B21" s="10" t="inlineStr">
        <is>
          <t>🟢🟢 满分</t>
        </is>
      </c>
      <c r="C21" s="10" t="n">
        <v>17</v>
      </c>
      <c r="D21" s="10" t="inlineStr">
        <is>
          <t>150.0000%</t>
        </is>
      </c>
      <c r="E21" s="10" t="inlineStr">
        <is>
          <t>150.0000%</t>
        </is>
      </c>
      <c r="F21" s="10" t="inlineStr">
        <is>
          <t>0.0000pp</t>
        </is>
      </c>
      <c r="G21" s="23" t="n">
        <v>500</v>
      </c>
      <c r="H21" s="12" t="inlineStr">
        <is>
          <t>⭐适度最优 500 分</t>
        </is>
      </c>
      <c r="I21" s="10" t="inlineStr">
        <is>
          <t>2.71pp</t>
        </is>
      </c>
      <c r="J21" s="19" t="n"/>
      <c r="K21" s="19" t="n"/>
    </row>
    <row r="22" ht="16.5" customHeight="1">
      <c r="A22" s="19" t="n"/>
      <c r="B22" s="10" t="inlineStr">
        <is>
          <t>🟢 安全</t>
        </is>
      </c>
      <c r="C22" s="10" t="n">
        <v>18</v>
      </c>
      <c r="D22" s="10" t="inlineStr">
        <is>
          <t>150.00%</t>
        </is>
      </c>
      <c r="E22" s="10" t="inlineStr">
        <is>
          <t>160.00%</t>
        </is>
      </c>
      <c r="F22" s="10" t="inlineStr">
        <is>
          <t>10.00pp</t>
        </is>
      </c>
      <c r="G22" s="13" t="n">
        <v>480</v>
      </c>
      <c r="H22" s="12" t="inlineStr">
        <is>
          <t>过优 500→减分 (插值)</t>
        </is>
      </c>
      <c r="I22" s="10" t="inlineStr">
        <is>
          <t>7.71pp</t>
        </is>
      </c>
      <c r="J22" s="19" t="n"/>
      <c r="K22" s="19" t="n"/>
    </row>
    <row r="23" ht="16.5" customHeight="1">
      <c r="A23" s="19" t="n"/>
      <c r="B23" s="10" t="inlineStr">
        <is>
          <t>🟢 安全</t>
        </is>
      </c>
      <c r="C23" s="10" t="n">
        <v>19</v>
      </c>
      <c r="D23" s="10" t="inlineStr">
        <is>
          <t>160.00%</t>
        </is>
      </c>
      <c r="E23" s="10" t="inlineStr">
        <is>
          <t>170.00%</t>
        </is>
      </c>
      <c r="F23" s="10" t="inlineStr">
        <is>
          <t>10.00pp</t>
        </is>
      </c>
      <c r="G23" s="13" t="n">
        <v>440</v>
      </c>
      <c r="H23" s="12" t="inlineStr">
        <is>
          <t>过优 500→减分 (插值)</t>
        </is>
      </c>
      <c r="I23" s="10" t="inlineStr">
        <is>
          <t>17.71pp</t>
        </is>
      </c>
      <c r="J23" s="19" t="n"/>
      <c r="K23" s="19" t="n"/>
    </row>
    <row r="24" ht="16.5" customHeight="1">
      <c r="A24" s="19" t="n"/>
      <c r="B24" s="10" t="inlineStr">
        <is>
          <t>🟢 安全</t>
        </is>
      </c>
      <c r="C24" s="10" t="n">
        <v>20</v>
      </c>
      <c r="D24" s="10" t="inlineStr">
        <is>
          <t>170.00%</t>
        </is>
      </c>
      <c r="E24" s="10" t="inlineStr">
        <is>
          <t>180.00%</t>
        </is>
      </c>
      <c r="F24" s="10" t="inlineStr">
        <is>
          <t>10.00pp</t>
        </is>
      </c>
      <c r="G24" s="13" t="n">
        <v>400</v>
      </c>
      <c r="H24" s="12" t="inlineStr">
        <is>
          <t>过优 500→减分 (插值)</t>
        </is>
      </c>
      <c r="I24" s="10" t="inlineStr">
        <is>
          <t>27.71pp</t>
        </is>
      </c>
      <c r="J24" s="19" t="n"/>
      <c r="K24" s="19" t="n"/>
    </row>
    <row r="25" ht="16.5" customHeight="1">
      <c r="A25" s="19" t="n"/>
      <c r="B25" s="10" t="inlineStr">
        <is>
          <t>🟢 安全</t>
        </is>
      </c>
      <c r="C25" s="10" t="n">
        <v>21</v>
      </c>
      <c r="D25" s="10" t="inlineStr">
        <is>
          <t>180.00%</t>
        </is>
      </c>
      <c r="E25" s="10" t="inlineStr">
        <is>
          <t>190.00%</t>
        </is>
      </c>
      <c r="F25" s="10" t="inlineStr">
        <is>
          <t>10.00pp</t>
        </is>
      </c>
      <c r="G25" s="13" t="n">
        <v>360</v>
      </c>
      <c r="H25" s="12" t="inlineStr">
        <is>
          <t>过优 500→减分 (插值)</t>
        </is>
      </c>
      <c r="I25" s="10" t="inlineStr">
        <is>
          <t>37.71pp</t>
        </is>
      </c>
      <c r="J25" s="19" t="n"/>
      <c r="K25" s="19" t="n"/>
    </row>
    <row r="26" ht="16.5" customHeight="1">
      <c r="A26" s="19" t="n"/>
      <c r="B26" s="10" t="inlineStr">
        <is>
          <t>🟢 安全</t>
        </is>
      </c>
      <c r="C26" s="10" t="n">
        <v>22</v>
      </c>
      <c r="D26" s="10" t="inlineStr">
        <is>
          <t>190.00%</t>
        </is>
      </c>
      <c r="E26" s="10" t="inlineStr">
        <is>
          <t>200.00%</t>
        </is>
      </c>
      <c r="F26" s="10" t="inlineStr">
        <is>
          <t>10.00pp</t>
        </is>
      </c>
      <c r="G26" s="13" t="n">
        <v>320</v>
      </c>
      <c r="H26" s="12" t="inlineStr">
        <is>
          <t>过优 500→减分 (插值)</t>
        </is>
      </c>
      <c r="I26" s="10" t="inlineStr">
        <is>
          <t>47.71pp</t>
        </is>
      </c>
      <c r="J26" s="19" t="n"/>
      <c r="K26" s="19" t="n"/>
    </row>
    <row r="27" ht="16.5" customHeight="1">
      <c r="A27" s="24" t="n"/>
      <c r="B27" s="10" t="inlineStr">
        <is>
          <t>🟢 安全</t>
        </is>
      </c>
      <c r="C27" s="10" t="n">
        <v>23</v>
      </c>
      <c r="D27" s="10" t="inlineStr">
        <is>
          <t>200.00%</t>
        </is>
      </c>
      <c r="E27" s="10" t="inlineStr">
        <is>
          <t>999.00%</t>
        </is>
      </c>
      <c r="F27" s="10" t="inlineStr">
        <is>
          <t>799.00pp</t>
        </is>
      </c>
      <c r="G27" s="13" t="n">
        <v>300</v>
      </c>
      <c r="H27" s="12" t="inlineStr">
        <is>
          <t>极度过剩 300 分</t>
        </is>
      </c>
      <c r="I27" s="10" t="inlineStr">
        <is>
          <t>452.21pp</t>
        </is>
      </c>
      <c r="J27" s="24" t="n"/>
      <c r="K27" s="24" t="n"/>
    </row>
    <row r="28" ht="16.5" customHeight="1">
      <c r="A28" s="17" t="inlineStr">
        <is>
          <t>NSFR</t>
        </is>
      </c>
      <c r="B28" s="10" t="inlineStr">
        <is>
          <t>🔴 不达标</t>
        </is>
      </c>
      <c r="C28" s="10" t="n">
        <v>1</v>
      </c>
      <c r="D28" s="10" t="inlineStr">
        <is>
          <t>0.00%</t>
        </is>
      </c>
      <c r="E28" s="10" t="inlineStr">
        <is>
          <t>100.00%</t>
        </is>
      </c>
      <c r="F28" s="10" t="inlineStr">
        <is>
          <t>100.00pp</t>
        </is>
      </c>
      <c r="G28" s="18" t="n">
        <v>0</v>
      </c>
      <c r="H28" s="12" t="inlineStr">
        <is>
          <t>不达标 (≤红线)</t>
        </is>
      </c>
      <c r="I28" s="10" t="inlineStr">
        <is>
          <t>54.52pp</t>
        </is>
      </c>
      <c r="J28" s="17" t="inlineStr">
        <is>
          <t>越高越好</t>
        </is>
      </c>
      <c r="K28" s="17" t="inlineStr">
        <is>
          <t>&lt; 100% (监管)</t>
        </is>
      </c>
    </row>
    <row r="29" ht="16.5" customHeight="1">
      <c r="A29" s="19" t="n"/>
      <c r="B29" s="10" t="inlineStr">
        <is>
          <t>🟠 危险</t>
        </is>
      </c>
      <c r="C29" s="10" t="n">
        <v>2</v>
      </c>
      <c r="D29" s="10" t="inlineStr">
        <is>
          <t>100.0000%</t>
        </is>
      </c>
      <c r="E29" s="10" t="inlineStr">
        <is>
          <t>100.6000%</t>
        </is>
      </c>
      <c r="F29" s="10" t="inlineStr">
        <is>
          <t>0.6000pp</t>
        </is>
      </c>
      <c r="G29" s="20" t="n">
        <v>15</v>
      </c>
      <c r="H29" s="12" t="inlineStr">
        <is>
          <t>危险 0-150 分 (插值)</t>
        </is>
      </c>
      <c r="I29" s="10" t="inlineStr">
        <is>
          <t>4.22pp</t>
        </is>
      </c>
      <c r="J29" s="19" t="n"/>
      <c r="K29" s="19" t="n"/>
    </row>
    <row r="30" ht="16.5" customHeight="1">
      <c r="A30" s="19" t="n"/>
      <c r="B30" s="10" t="inlineStr">
        <is>
          <t>🟠 危险</t>
        </is>
      </c>
      <c r="C30" s="10" t="n">
        <v>3</v>
      </c>
      <c r="D30" s="10" t="inlineStr">
        <is>
          <t>100.6000%</t>
        </is>
      </c>
      <c r="E30" s="10" t="inlineStr">
        <is>
          <t>101.2000%</t>
        </is>
      </c>
      <c r="F30" s="10" t="inlineStr">
        <is>
          <t>0.6000pp</t>
        </is>
      </c>
      <c r="G30" s="20" t="n">
        <v>45</v>
      </c>
      <c r="H30" s="12" t="inlineStr">
        <is>
          <t>危险 0-150 分 (插值)</t>
        </is>
      </c>
      <c r="I30" s="10" t="inlineStr">
        <is>
          <t>3.62pp</t>
        </is>
      </c>
      <c r="J30" s="19" t="n"/>
      <c r="K30" s="19" t="n"/>
    </row>
    <row r="31" ht="16.5" customHeight="1">
      <c r="A31" s="19" t="n"/>
      <c r="B31" s="10" t="inlineStr">
        <is>
          <t>🟠 危险</t>
        </is>
      </c>
      <c r="C31" s="10" t="n">
        <v>4</v>
      </c>
      <c r="D31" s="10" t="inlineStr">
        <is>
          <t>101.2000%</t>
        </is>
      </c>
      <c r="E31" s="10" t="inlineStr">
        <is>
          <t>101.8000%</t>
        </is>
      </c>
      <c r="F31" s="10" t="inlineStr">
        <is>
          <t>0.6000pp</t>
        </is>
      </c>
      <c r="G31" s="20" t="n">
        <v>75</v>
      </c>
      <c r="H31" s="12" t="inlineStr">
        <is>
          <t>危险 0-150 分 (插值)</t>
        </is>
      </c>
      <c r="I31" s="10" t="inlineStr">
        <is>
          <t>3.02pp</t>
        </is>
      </c>
      <c r="J31" s="19" t="n"/>
      <c r="K31" s="19" t="n"/>
    </row>
    <row r="32" ht="16.5" customHeight="1">
      <c r="A32" s="19" t="n"/>
      <c r="B32" s="10" t="inlineStr">
        <is>
          <t>🟠 危险</t>
        </is>
      </c>
      <c r="C32" s="10" t="n">
        <v>5</v>
      </c>
      <c r="D32" s="10" t="inlineStr">
        <is>
          <t>101.8000%</t>
        </is>
      </c>
      <c r="E32" s="10" t="inlineStr">
        <is>
          <t>102.4000%</t>
        </is>
      </c>
      <c r="F32" s="10" t="inlineStr">
        <is>
          <t>0.6000pp</t>
        </is>
      </c>
      <c r="G32" s="20" t="n">
        <v>105</v>
      </c>
      <c r="H32" s="12" t="inlineStr">
        <is>
          <t>危险 0-150 分 (插值)</t>
        </is>
      </c>
      <c r="I32" s="10" t="inlineStr">
        <is>
          <t>2.42pp</t>
        </is>
      </c>
      <c r="J32" s="19" t="n"/>
      <c r="K32" s="19" t="n"/>
    </row>
    <row r="33" ht="16.5" customHeight="1">
      <c r="A33" s="19" t="n"/>
      <c r="B33" s="10" t="inlineStr">
        <is>
          <t>🟠 危险</t>
        </is>
      </c>
      <c r="C33" s="10" t="n">
        <v>6</v>
      </c>
      <c r="D33" s="10" t="inlineStr">
        <is>
          <t>102.4000%</t>
        </is>
      </c>
      <c r="E33" s="10" t="inlineStr">
        <is>
          <t>103.0000%</t>
        </is>
      </c>
      <c r="F33" s="10" t="inlineStr">
        <is>
          <t>0.6000pp</t>
        </is>
      </c>
      <c r="G33" s="20" t="n">
        <v>135</v>
      </c>
      <c r="H33" s="12" t="inlineStr">
        <is>
          <t>危险 0-150 分 (插值)</t>
        </is>
      </c>
      <c r="I33" s="10" t="inlineStr">
        <is>
          <t>1.82pp</t>
        </is>
      </c>
      <c r="J33" s="19" t="n"/>
      <c r="K33" s="19" t="n"/>
    </row>
    <row r="34" ht="16.5" customHeight="1">
      <c r="A34" s="19" t="n"/>
      <c r="B34" s="10" t="inlineStr">
        <is>
          <t>🟡 预警</t>
        </is>
      </c>
      <c r="C34" s="10" t="n">
        <v>7</v>
      </c>
      <c r="D34" s="10" t="inlineStr">
        <is>
          <t>103.0000%</t>
        </is>
      </c>
      <c r="E34" s="10" t="inlineStr">
        <is>
          <t>103.4000%</t>
        </is>
      </c>
      <c r="F34" s="10" t="inlineStr">
        <is>
          <t>0.4000pp</t>
        </is>
      </c>
      <c r="G34" s="14" t="n">
        <v>165</v>
      </c>
      <c r="H34" s="12" t="inlineStr">
        <is>
          <t>预警 150-300 分 (插值)</t>
        </is>
      </c>
      <c r="I34" s="10" t="inlineStr">
        <is>
          <t>1.32pp</t>
        </is>
      </c>
      <c r="J34" s="19" t="n"/>
      <c r="K34" s="19" t="n"/>
    </row>
    <row r="35" ht="16.5" customHeight="1">
      <c r="A35" s="19" t="n"/>
      <c r="B35" s="10" t="inlineStr">
        <is>
          <t>🟡 预警</t>
        </is>
      </c>
      <c r="C35" s="10" t="n">
        <v>8</v>
      </c>
      <c r="D35" s="10" t="inlineStr">
        <is>
          <t>103.4000%</t>
        </is>
      </c>
      <c r="E35" s="10" t="inlineStr">
        <is>
          <t>103.8000%</t>
        </is>
      </c>
      <c r="F35" s="10" t="inlineStr">
        <is>
          <t>0.4000pp</t>
        </is>
      </c>
      <c r="G35" s="14" t="n">
        <v>195</v>
      </c>
      <c r="H35" s="12" t="inlineStr">
        <is>
          <t>预警 150-300 分 (插值)</t>
        </is>
      </c>
      <c r="I35" s="10" t="inlineStr">
        <is>
          <t>0.92pp</t>
        </is>
      </c>
      <c r="J35" s="19" t="n"/>
      <c r="K35" s="19" t="n"/>
    </row>
    <row r="36" ht="16.5" customHeight="1">
      <c r="A36" s="19" t="n"/>
      <c r="B36" s="10" t="inlineStr">
        <is>
          <t>🟡 预警</t>
        </is>
      </c>
      <c r="C36" s="10" t="n">
        <v>9</v>
      </c>
      <c r="D36" s="10" t="inlineStr">
        <is>
          <t>103.8000%</t>
        </is>
      </c>
      <c r="E36" s="10" t="inlineStr">
        <is>
          <t>104.2000%</t>
        </is>
      </c>
      <c r="F36" s="10" t="inlineStr">
        <is>
          <t>0.4000pp</t>
        </is>
      </c>
      <c r="G36" s="14" t="n">
        <v>225</v>
      </c>
      <c r="H36" s="12" t="inlineStr">
        <is>
          <t>预警 150-300 分 (插值)</t>
        </is>
      </c>
      <c r="I36" s="10" t="inlineStr">
        <is>
          <t>0.52pp</t>
        </is>
      </c>
      <c r="J36" s="19" t="n"/>
      <c r="K36" s="19" t="n"/>
    </row>
    <row r="37" ht="16.5" customHeight="1">
      <c r="A37" s="19" t="n"/>
      <c r="B37" s="10" t="inlineStr">
        <is>
          <t>🟡 预警</t>
        </is>
      </c>
      <c r="C37" s="21" t="n">
        <v>10</v>
      </c>
      <c r="D37" s="10" t="inlineStr">
        <is>
          <t>104.2000%</t>
        </is>
      </c>
      <c r="E37" s="10" t="inlineStr">
        <is>
          <t>104.6000%</t>
        </is>
      </c>
      <c r="F37" s="10" t="inlineStr">
        <is>
          <t>0.4000pp</t>
        </is>
      </c>
      <c r="G37" s="14" t="n">
        <v>255</v>
      </c>
      <c r="H37" s="22" t="inlineStr">
        <is>
          <t>预警 150-300 分 (插值)</t>
        </is>
      </c>
      <c r="I37" s="10" t="inlineStr">
        <is>
          <t>0.12pp</t>
        </is>
      </c>
      <c r="J37" s="19" t="n"/>
      <c r="K37" s="19" t="n"/>
    </row>
    <row r="38" ht="16.5" customHeight="1">
      <c r="A38" s="19" t="n"/>
      <c r="B38" s="10" t="inlineStr">
        <is>
          <t>🟡 预警</t>
        </is>
      </c>
      <c r="C38" s="10" t="n">
        <v>11</v>
      </c>
      <c r="D38" s="10" t="inlineStr">
        <is>
          <t>104.6000%</t>
        </is>
      </c>
      <c r="E38" s="10" t="inlineStr">
        <is>
          <t>105.0000%</t>
        </is>
      </c>
      <c r="F38" s="10" t="inlineStr">
        <is>
          <t>0.4000pp</t>
        </is>
      </c>
      <c r="G38" s="14" t="n">
        <v>285</v>
      </c>
      <c r="H38" s="12" t="inlineStr">
        <is>
          <t>预警 150-300 分 (插值)</t>
        </is>
      </c>
      <c r="I38" s="10" t="inlineStr">
        <is>
          <t>0.28pp</t>
        </is>
      </c>
      <c r="J38" s="19" t="n"/>
      <c r="K38" s="19" t="n"/>
    </row>
    <row r="39" ht="16.5" customHeight="1">
      <c r="A39" s="19" t="n"/>
      <c r="B39" s="10" t="inlineStr">
        <is>
          <t>🟢 安全</t>
        </is>
      </c>
      <c r="C39" s="10" t="n">
        <v>12</v>
      </c>
      <c r="D39" s="10" t="inlineStr">
        <is>
          <t>105.0000%</t>
        </is>
      </c>
      <c r="E39" s="10" t="inlineStr">
        <is>
          <t>105.4000%</t>
        </is>
      </c>
      <c r="F39" s="10" t="inlineStr">
        <is>
          <t>0.4000pp</t>
        </is>
      </c>
      <c r="G39" s="13" t="n">
        <v>320</v>
      </c>
      <c r="H39" s="12" t="inlineStr">
        <is>
          <t>安全 300-500 分 (插值)</t>
        </is>
      </c>
      <c r="I39" s="10" t="inlineStr">
        <is>
          <t>0.68pp</t>
        </is>
      </c>
      <c r="J39" s="19" t="n"/>
      <c r="K39" s="19" t="n"/>
    </row>
    <row r="40" ht="16.5" customHeight="1">
      <c r="A40" s="19" t="n"/>
      <c r="B40" s="10" t="inlineStr">
        <is>
          <t>🟢 安全</t>
        </is>
      </c>
      <c r="C40" s="10" t="n">
        <v>13</v>
      </c>
      <c r="D40" s="10" t="inlineStr">
        <is>
          <t>105.4000%</t>
        </is>
      </c>
      <c r="E40" s="10" t="inlineStr">
        <is>
          <t>105.8000%</t>
        </is>
      </c>
      <c r="F40" s="10" t="inlineStr">
        <is>
          <t>0.4000pp</t>
        </is>
      </c>
      <c r="G40" s="13" t="n">
        <v>360</v>
      </c>
      <c r="H40" s="12" t="inlineStr">
        <is>
          <t>安全 300-500 分 (插值)</t>
        </is>
      </c>
      <c r="I40" s="10" t="inlineStr">
        <is>
          <t>1.08pp</t>
        </is>
      </c>
      <c r="J40" s="19" t="n"/>
      <c r="K40" s="19" t="n"/>
    </row>
    <row r="41" ht="16.5" customHeight="1">
      <c r="A41" s="19" t="n"/>
      <c r="B41" s="10" t="inlineStr">
        <is>
          <t>🟢 安全</t>
        </is>
      </c>
      <c r="C41" s="10" t="n">
        <v>14</v>
      </c>
      <c r="D41" s="10" t="inlineStr">
        <is>
          <t>105.8000%</t>
        </is>
      </c>
      <c r="E41" s="10" t="inlineStr">
        <is>
          <t>106.2000%</t>
        </is>
      </c>
      <c r="F41" s="10" t="inlineStr">
        <is>
          <t>0.4000pp</t>
        </is>
      </c>
      <c r="G41" s="13" t="n">
        <v>400</v>
      </c>
      <c r="H41" s="12" t="inlineStr">
        <is>
          <t>安全 300-500 分 (插值)</t>
        </is>
      </c>
      <c r="I41" s="10" t="inlineStr">
        <is>
          <t>1.48pp</t>
        </is>
      </c>
      <c r="J41" s="19" t="n"/>
      <c r="K41" s="19" t="n"/>
    </row>
    <row r="42" ht="16.5" customHeight="1">
      <c r="A42" s="19" t="n"/>
      <c r="B42" s="10" t="inlineStr">
        <is>
          <t>🟢 安全</t>
        </is>
      </c>
      <c r="C42" s="10" t="n">
        <v>15</v>
      </c>
      <c r="D42" s="10" t="inlineStr">
        <is>
          <t>106.2000%</t>
        </is>
      </c>
      <c r="E42" s="10" t="inlineStr">
        <is>
          <t>106.6000%</t>
        </is>
      </c>
      <c r="F42" s="10" t="inlineStr">
        <is>
          <t>0.4000pp</t>
        </is>
      </c>
      <c r="G42" s="13" t="n">
        <v>440</v>
      </c>
      <c r="H42" s="12" t="inlineStr">
        <is>
          <t>安全 300-500 分 (插值)</t>
        </is>
      </c>
      <c r="I42" s="10" t="inlineStr">
        <is>
          <t>1.88pp</t>
        </is>
      </c>
      <c r="J42" s="19" t="n"/>
      <c r="K42" s="19" t="n"/>
    </row>
    <row r="43" ht="16.5" customHeight="1">
      <c r="A43" s="19" t="n"/>
      <c r="B43" s="10" t="inlineStr">
        <is>
          <t>🟢 安全</t>
        </is>
      </c>
      <c r="C43" s="10" t="n">
        <v>16</v>
      </c>
      <c r="D43" s="10" t="inlineStr">
        <is>
          <t>106.6000%</t>
        </is>
      </c>
      <c r="E43" s="10" t="inlineStr">
        <is>
          <t>107.0000%</t>
        </is>
      </c>
      <c r="F43" s="10" t="inlineStr">
        <is>
          <t>0.4000pp</t>
        </is>
      </c>
      <c r="G43" s="13" t="n">
        <v>480</v>
      </c>
      <c r="H43" s="12" t="inlineStr">
        <is>
          <t>安全 300-500 分 (插值)</t>
        </is>
      </c>
      <c r="I43" s="10" t="inlineStr">
        <is>
          <t>2.28pp</t>
        </is>
      </c>
      <c r="J43" s="19" t="n"/>
      <c r="K43" s="19" t="n"/>
    </row>
    <row r="44" ht="16.5" customHeight="1">
      <c r="A44" s="19" t="n"/>
      <c r="B44" s="10" t="inlineStr">
        <is>
          <t>🟢🟢 满分</t>
        </is>
      </c>
      <c r="C44" s="10" t="n">
        <v>17</v>
      </c>
      <c r="D44" s="10" t="inlineStr">
        <is>
          <t>107.0000%</t>
        </is>
      </c>
      <c r="E44" s="10" t="inlineStr">
        <is>
          <t>107.0000%</t>
        </is>
      </c>
      <c r="F44" s="10" t="inlineStr">
        <is>
          <t>0.0000pp</t>
        </is>
      </c>
      <c r="G44" s="23" t="n">
        <v>500</v>
      </c>
      <c r="H44" s="12" t="inlineStr">
        <is>
          <t>⭐适度最优 500 分</t>
        </is>
      </c>
      <c r="I44" s="10" t="inlineStr">
        <is>
          <t>2.48pp</t>
        </is>
      </c>
      <c r="J44" s="19" t="n"/>
      <c r="K44" s="19" t="n"/>
    </row>
    <row r="45" ht="16.5" customHeight="1">
      <c r="A45" s="19" t="n"/>
      <c r="B45" s="10" t="inlineStr">
        <is>
          <t>🟢 安全</t>
        </is>
      </c>
      <c r="C45" s="10" t="n">
        <v>18</v>
      </c>
      <c r="D45" s="10" t="inlineStr">
        <is>
          <t>107.00%</t>
        </is>
      </c>
      <c r="E45" s="10" t="inlineStr">
        <is>
          <t>108.60%</t>
        </is>
      </c>
      <c r="F45" s="10" t="inlineStr">
        <is>
          <t>1.60pp</t>
        </is>
      </c>
      <c r="G45" s="13" t="n">
        <v>480</v>
      </c>
      <c r="H45" s="12" t="inlineStr">
        <is>
          <t>过优 500→减分 (插值)</t>
        </is>
      </c>
      <c r="I45" s="10" t="inlineStr">
        <is>
          <t>3.28pp</t>
        </is>
      </c>
      <c r="J45" s="19" t="n"/>
      <c r="K45" s="19" t="n"/>
    </row>
    <row r="46" ht="16.5" customHeight="1">
      <c r="A46" s="19" t="n"/>
      <c r="B46" s="10" t="inlineStr">
        <is>
          <t>🟢 安全</t>
        </is>
      </c>
      <c r="C46" s="10" t="n">
        <v>19</v>
      </c>
      <c r="D46" s="10" t="inlineStr">
        <is>
          <t>108.60%</t>
        </is>
      </c>
      <c r="E46" s="10" t="inlineStr">
        <is>
          <t>110.20%</t>
        </is>
      </c>
      <c r="F46" s="10" t="inlineStr">
        <is>
          <t>1.60pp</t>
        </is>
      </c>
      <c r="G46" s="13" t="n">
        <v>440</v>
      </c>
      <c r="H46" s="12" t="inlineStr">
        <is>
          <t>过优 500→减分 (插值)</t>
        </is>
      </c>
      <c r="I46" s="10" t="inlineStr">
        <is>
          <t>4.88pp</t>
        </is>
      </c>
      <c r="J46" s="19" t="n"/>
      <c r="K46" s="19" t="n"/>
    </row>
    <row r="47" ht="16.5" customHeight="1">
      <c r="A47" s="19" t="n"/>
      <c r="B47" s="10" t="inlineStr">
        <is>
          <t>🟢 安全</t>
        </is>
      </c>
      <c r="C47" s="10" t="n">
        <v>20</v>
      </c>
      <c r="D47" s="10" t="inlineStr">
        <is>
          <t>110.20%</t>
        </is>
      </c>
      <c r="E47" s="10" t="inlineStr">
        <is>
          <t>111.80%</t>
        </is>
      </c>
      <c r="F47" s="10" t="inlineStr">
        <is>
          <t>1.60pp</t>
        </is>
      </c>
      <c r="G47" s="13" t="n">
        <v>400</v>
      </c>
      <c r="H47" s="12" t="inlineStr">
        <is>
          <t>过优 500→减分 (插值)</t>
        </is>
      </c>
      <c r="I47" s="10" t="inlineStr">
        <is>
          <t>6.48pp</t>
        </is>
      </c>
      <c r="J47" s="19" t="n"/>
      <c r="K47" s="19" t="n"/>
    </row>
    <row r="48" ht="16.5" customHeight="1">
      <c r="A48" s="19" t="n"/>
      <c r="B48" s="10" t="inlineStr">
        <is>
          <t>🟢 安全</t>
        </is>
      </c>
      <c r="C48" s="10" t="n">
        <v>21</v>
      </c>
      <c r="D48" s="10" t="inlineStr">
        <is>
          <t>111.80%</t>
        </is>
      </c>
      <c r="E48" s="10" t="inlineStr">
        <is>
          <t>113.40%</t>
        </is>
      </c>
      <c r="F48" s="10" t="inlineStr">
        <is>
          <t>1.60pp</t>
        </is>
      </c>
      <c r="G48" s="13" t="n">
        <v>360</v>
      </c>
      <c r="H48" s="12" t="inlineStr">
        <is>
          <t>过优 500→减分 (插值)</t>
        </is>
      </c>
      <c r="I48" s="10" t="inlineStr">
        <is>
          <t>8.08pp</t>
        </is>
      </c>
      <c r="J48" s="19" t="n"/>
      <c r="K48" s="19" t="n"/>
    </row>
    <row r="49" ht="16.5" customHeight="1">
      <c r="A49" s="19" t="n"/>
      <c r="B49" s="10" t="inlineStr">
        <is>
          <t>🟢 安全</t>
        </is>
      </c>
      <c r="C49" s="10" t="n">
        <v>22</v>
      </c>
      <c r="D49" s="10" t="inlineStr">
        <is>
          <t>113.40%</t>
        </is>
      </c>
      <c r="E49" s="10" t="inlineStr">
        <is>
          <t>115.00%</t>
        </is>
      </c>
      <c r="F49" s="10" t="inlineStr">
        <is>
          <t>1.60pp</t>
        </is>
      </c>
      <c r="G49" s="13" t="n">
        <v>320</v>
      </c>
      <c r="H49" s="12" t="inlineStr">
        <is>
          <t>过优 500→减分 (插值)</t>
        </is>
      </c>
      <c r="I49" s="10" t="inlineStr">
        <is>
          <t>9.68pp</t>
        </is>
      </c>
      <c r="J49" s="19" t="n"/>
      <c r="K49" s="19" t="n"/>
    </row>
    <row r="50" ht="16.5" customHeight="1">
      <c r="A50" s="24" t="n"/>
      <c r="B50" s="10" t="inlineStr">
        <is>
          <t>🟢 安全</t>
        </is>
      </c>
      <c r="C50" s="10" t="n">
        <v>23</v>
      </c>
      <c r="D50" s="10" t="inlineStr">
        <is>
          <t>115.00%</t>
        </is>
      </c>
      <c r="E50" s="10" t="inlineStr">
        <is>
          <t>999.00%</t>
        </is>
      </c>
      <c r="F50" s="10" t="inlineStr">
        <is>
          <t>884.00pp</t>
        </is>
      </c>
      <c r="G50" s="13" t="n">
        <v>300</v>
      </c>
      <c r="H50" s="12" t="inlineStr">
        <is>
          <t>极度过剩 300 分</t>
        </is>
      </c>
      <c r="I50" s="10" t="inlineStr">
        <is>
          <t>452.48pp</t>
        </is>
      </c>
      <c r="J50" s="24" t="n"/>
      <c r="K50" s="24" t="n"/>
    </row>
    <row r="51" ht="16.5" customHeight="1">
      <c r="A51" s="17" t="inlineStr">
        <is>
          <t>EVE</t>
        </is>
      </c>
      <c r="B51" s="10" t="inlineStr">
        <is>
          <t>🔴 不达标</t>
        </is>
      </c>
      <c r="C51" s="10" t="n">
        <v>1</v>
      </c>
      <c r="D51" s="10" t="inlineStr">
        <is>
          <t>15.00%</t>
        </is>
      </c>
      <c r="E51" s="10" t="inlineStr">
        <is>
          <t>999.00%</t>
        </is>
      </c>
      <c r="F51" s="10" t="inlineStr">
        <is>
          <t>984.00pp</t>
        </is>
      </c>
      <c r="G51" s="18" t="n">
        <v>0</v>
      </c>
      <c r="H51" s="12" t="inlineStr">
        <is>
          <t>不达标 (≥红线)</t>
        </is>
      </c>
      <c r="I51" s="10" t="inlineStr">
        <is>
          <t>496.46pp</t>
        </is>
      </c>
      <c r="J51" s="17" t="inlineStr">
        <is>
          <t>越低越好</t>
        </is>
      </c>
      <c r="K51" s="17" t="inlineStr">
        <is>
          <t>&gt; 15% (监管)</t>
        </is>
      </c>
    </row>
    <row r="52" ht="16.5" customHeight="1">
      <c r="A52" s="19" t="n"/>
      <c r="B52" s="10" t="inlineStr">
        <is>
          <t>🟠 危险</t>
        </is>
      </c>
      <c r="C52" s="10" t="n">
        <v>2</v>
      </c>
      <c r="D52" s="10" t="inlineStr">
        <is>
          <t>12.0000%</t>
        </is>
      </c>
      <c r="E52" s="10" t="inlineStr">
        <is>
          <t>12.6000%</t>
        </is>
      </c>
      <c r="F52" s="10" t="inlineStr">
        <is>
          <t>0.6000pp</t>
        </is>
      </c>
      <c r="G52" s="20" t="n">
        <v>135</v>
      </c>
      <c r="H52" s="12" t="inlineStr">
        <is>
          <t>危险 0-150 分 (插值)</t>
        </is>
      </c>
      <c r="I52" s="10" t="inlineStr">
        <is>
          <t>1.76pp</t>
        </is>
      </c>
      <c r="J52" s="19" t="n"/>
      <c r="K52" s="19" t="n"/>
    </row>
    <row r="53" ht="16.5" customHeight="1">
      <c r="A53" s="19" t="n"/>
      <c r="B53" s="10" t="inlineStr">
        <is>
          <t>🟠 危险</t>
        </is>
      </c>
      <c r="C53" s="10" t="n">
        <v>3</v>
      </c>
      <c r="D53" s="10" t="inlineStr">
        <is>
          <t>12.6000%</t>
        </is>
      </c>
      <c r="E53" s="10" t="inlineStr">
        <is>
          <t>13.2000%</t>
        </is>
      </c>
      <c r="F53" s="10" t="inlineStr">
        <is>
          <t>0.6000pp</t>
        </is>
      </c>
      <c r="G53" s="20" t="n">
        <v>105</v>
      </c>
      <c r="H53" s="12" t="inlineStr">
        <is>
          <t>危险 0-150 分 (插值)</t>
        </is>
      </c>
      <c r="I53" s="10" t="inlineStr">
        <is>
          <t>2.36pp</t>
        </is>
      </c>
      <c r="J53" s="19" t="n"/>
      <c r="K53" s="19" t="n"/>
    </row>
    <row r="54" ht="16.5" customHeight="1">
      <c r="A54" s="19" t="n"/>
      <c r="B54" s="10" t="inlineStr">
        <is>
          <t>🟠 危险</t>
        </is>
      </c>
      <c r="C54" s="10" t="n">
        <v>4</v>
      </c>
      <c r="D54" s="10" t="inlineStr">
        <is>
          <t>13.2000%</t>
        </is>
      </c>
      <c r="E54" s="10" t="inlineStr">
        <is>
          <t>13.8000%</t>
        </is>
      </c>
      <c r="F54" s="10" t="inlineStr">
        <is>
          <t>0.6000pp</t>
        </is>
      </c>
      <c r="G54" s="20" t="n">
        <v>75</v>
      </c>
      <c r="H54" s="12" t="inlineStr">
        <is>
          <t>危险 0-150 分 (插值)</t>
        </is>
      </c>
      <c r="I54" s="10" t="inlineStr">
        <is>
          <t>2.96pp</t>
        </is>
      </c>
      <c r="J54" s="19" t="n"/>
      <c r="K54" s="19" t="n"/>
    </row>
    <row r="55" ht="16.5" customHeight="1">
      <c r="A55" s="19" t="n"/>
      <c r="B55" s="10" t="inlineStr">
        <is>
          <t>🟠 危险</t>
        </is>
      </c>
      <c r="C55" s="10" t="n">
        <v>5</v>
      </c>
      <c r="D55" s="10" t="inlineStr">
        <is>
          <t>13.8000%</t>
        </is>
      </c>
      <c r="E55" s="10" t="inlineStr">
        <is>
          <t>14.4000%</t>
        </is>
      </c>
      <c r="F55" s="10" t="inlineStr">
        <is>
          <t>0.6000pp</t>
        </is>
      </c>
      <c r="G55" s="20" t="n">
        <v>45</v>
      </c>
      <c r="H55" s="12" t="inlineStr">
        <is>
          <t>危险 0-150 分 (插值)</t>
        </is>
      </c>
      <c r="I55" s="10" t="inlineStr">
        <is>
          <t>3.56pp</t>
        </is>
      </c>
      <c r="J55" s="19" t="n"/>
      <c r="K55" s="19" t="n"/>
    </row>
    <row r="56" ht="16.5" customHeight="1">
      <c r="A56" s="19" t="n"/>
      <c r="B56" s="10" t="inlineStr">
        <is>
          <t>🟠 危险</t>
        </is>
      </c>
      <c r="C56" s="10" t="n">
        <v>6</v>
      </c>
      <c r="D56" s="10" t="inlineStr">
        <is>
          <t>14.4000%</t>
        </is>
      </c>
      <c r="E56" s="10" t="inlineStr">
        <is>
          <t>15.0000%</t>
        </is>
      </c>
      <c r="F56" s="10" t="inlineStr">
        <is>
          <t>0.6000pp</t>
        </is>
      </c>
      <c r="G56" s="20" t="n">
        <v>15</v>
      </c>
      <c r="H56" s="12" t="inlineStr">
        <is>
          <t>危险 0-150 分 (插值)</t>
        </is>
      </c>
      <c r="I56" s="10" t="inlineStr">
        <is>
          <t>4.16pp</t>
        </is>
      </c>
      <c r="J56" s="19" t="n"/>
      <c r="K56" s="19" t="n"/>
    </row>
    <row r="57" ht="16.5" customHeight="1">
      <c r="A57" s="19" t="n"/>
      <c r="B57" s="10" t="inlineStr">
        <is>
          <t>🟡 预警</t>
        </is>
      </c>
      <c r="C57" s="10" t="n">
        <v>7</v>
      </c>
      <c r="D57" s="10" t="inlineStr">
        <is>
          <t>10.0000%</t>
        </is>
      </c>
      <c r="E57" s="10" t="inlineStr">
        <is>
          <t>10.4000%</t>
        </is>
      </c>
      <c r="F57" s="10" t="inlineStr">
        <is>
          <t>0.4000pp</t>
        </is>
      </c>
      <c r="G57" s="14" t="n">
        <v>285</v>
      </c>
      <c r="H57" s="12" t="inlineStr">
        <is>
          <t>预警 150-300 分 (插值)</t>
        </is>
      </c>
      <c r="I57" s="10" t="inlineStr">
        <is>
          <t>0.34pp</t>
        </is>
      </c>
      <c r="J57" s="19" t="n"/>
      <c r="K57" s="19" t="n"/>
    </row>
    <row r="58" ht="16.5" customHeight="1">
      <c r="A58" s="19" t="n"/>
      <c r="B58" s="10" t="inlineStr">
        <is>
          <t>🟡 预警</t>
        </is>
      </c>
      <c r="C58" s="21" t="n">
        <v>8</v>
      </c>
      <c r="D58" s="10" t="inlineStr">
        <is>
          <t>10.4000%</t>
        </is>
      </c>
      <c r="E58" s="10" t="inlineStr">
        <is>
          <t>10.8000%</t>
        </is>
      </c>
      <c r="F58" s="10" t="inlineStr">
        <is>
          <t>0.4000pp</t>
        </is>
      </c>
      <c r="G58" s="14" t="n">
        <v>255</v>
      </c>
      <c r="H58" s="22" t="inlineStr">
        <is>
          <t>预警 150-300 分 (插值)</t>
        </is>
      </c>
      <c r="I58" s="10" t="inlineStr">
        <is>
          <t>0.06pp</t>
        </is>
      </c>
      <c r="J58" s="19" t="n"/>
      <c r="K58" s="19" t="n"/>
    </row>
    <row r="59" ht="16.5" customHeight="1">
      <c r="A59" s="19" t="n"/>
      <c r="B59" s="10" t="inlineStr">
        <is>
          <t>🟡 预警</t>
        </is>
      </c>
      <c r="C59" s="10" t="n">
        <v>9</v>
      </c>
      <c r="D59" s="10" t="inlineStr">
        <is>
          <t>10.8000%</t>
        </is>
      </c>
      <c r="E59" s="10" t="inlineStr">
        <is>
          <t>11.2000%</t>
        </is>
      </c>
      <c r="F59" s="10" t="inlineStr">
        <is>
          <t>0.4000pp</t>
        </is>
      </c>
      <c r="G59" s="14" t="n">
        <v>225</v>
      </c>
      <c r="H59" s="12" t="inlineStr">
        <is>
          <t>预警 150-300 分 (插值)</t>
        </is>
      </c>
      <c r="I59" s="10" t="inlineStr">
        <is>
          <t>0.46pp</t>
        </is>
      </c>
      <c r="J59" s="19" t="n"/>
      <c r="K59" s="19" t="n"/>
    </row>
    <row r="60" ht="16.5" customHeight="1">
      <c r="A60" s="19" t="n"/>
      <c r="B60" s="10" t="inlineStr">
        <is>
          <t>🟡 预警</t>
        </is>
      </c>
      <c r="C60" s="10" t="n">
        <v>10</v>
      </c>
      <c r="D60" s="10" t="inlineStr">
        <is>
          <t>11.2000%</t>
        </is>
      </c>
      <c r="E60" s="10" t="inlineStr">
        <is>
          <t>11.6000%</t>
        </is>
      </c>
      <c r="F60" s="10" t="inlineStr">
        <is>
          <t>0.4000pp</t>
        </is>
      </c>
      <c r="G60" s="14" t="n">
        <v>195</v>
      </c>
      <c r="H60" s="12" t="inlineStr">
        <is>
          <t>预警 150-300 分 (插值)</t>
        </is>
      </c>
      <c r="I60" s="10" t="inlineStr">
        <is>
          <t>0.86pp</t>
        </is>
      </c>
      <c r="J60" s="19" t="n"/>
      <c r="K60" s="19" t="n"/>
    </row>
    <row r="61" ht="16.5" customHeight="1">
      <c r="A61" s="19" t="n"/>
      <c r="B61" s="10" t="inlineStr">
        <is>
          <t>🟡 预警</t>
        </is>
      </c>
      <c r="C61" s="10" t="n">
        <v>11</v>
      </c>
      <c r="D61" s="10" t="inlineStr">
        <is>
          <t>11.6000%</t>
        </is>
      </c>
      <c r="E61" s="10" t="inlineStr">
        <is>
          <t>12.0000%</t>
        </is>
      </c>
      <c r="F61" s="10" t="inlineStr">
        <is>
          <t>0.4000pp</t>
        </is>
      </c>
      <c r="G61" s="14" t="n">
        <v>165</v>
      </c>
      <c r="H61" s="12" t="inlineStr">
        <is>
          <t>预警 150-300 分 (插值)</t>
        </is>
      </c>
      <c r="I61" s="10" t="inlineStr">
        <is>
          <t>1.26pp</t>
        </is>
      </c>
      <c r="J61" s="19" t="n"/>
      <c r="K61" s="19" t="n"/>
    </row>
    <row r="62" ht="16.5" customHeight="1">
      <c r="A62" s="19" t="n"/>
      <c r="B62" s="10" t="inlineStr">
        <is>
          <t>🟢 安全</t>
        </is>
      </c>
      <c r="C62" s="10" t="n">
        <v>12</v>
      </c>
      <c r="D62" s="10" t="inlineStr">
        <is>
          <t>8.0000%</t>
        </is>
      </c>
      <c r="E62" s="10" t="inlineStr">
        <is>
          <t>8.4000%</t>
        </is>
      </c>
      <c r="F62" s="10" t="inlineStr">
        <is>
          <t>0.4000pp</t>
        </is>
      </c>
      <c r="G62" s="13" t="n">
        <v>480</v>
      </c>
      <c r="H62" s="12" t="inlineStr">
        <is>
          <t>安全 300-500 分 (插值)</t>
        </is>
      </c>
      <c r="I62" s="10" t="inlineStr">
        <is>
          <t>2.34pp</t>
        </is>
      </c>
      <c r="J62" s="19" t="n"/>
      <c r="K62" s="19" t="n"/>
    </row>
    <row r="63" ht="16.5" customHeight="1">
      <c r="A63" s="19" t="n"/>
      <c r="B63" s="10" t="inlineStr">
        <is>
          <t>🟢 安全</t>
        </is>
      </c>
      <c r="C63" s="10" t="n">
        <v>13</v>
      </c>
      <c r="D63" s="10" t="inlineStr">
        <is>
          <t>8.4000%</t>
        </is>
      </c>
      <c r="E63" s="10" t="inlineStr">
        <is>
          <t>8.8000%</t>
        </is>
      </c>
      <c r="F63" s="10" t="inlineStr">
        <is>
          <t>0.4000pp</t>
        </is>
      </c>
      <c r="G63" s="13" t="n">
        <v>440</v>
      </c>
      <c r="H63" s="12" t="inlineStr">
        <is>
          <t>安全 300-500 分 (插值)</t>
        </is>
      </c>
      <c r="I63" s="10" t="inlineStr">
        <is>
          <t>1.94pp</t>
        </is>
      </c>
      <c r="J63" s="19" t="n"/>
      <c r="K63" s="19" t="n"/>
    </row>
    <row r="64" ht="16.5" customHeight="1">
      <c r="A64" s="19" t="n"/>
      <c r="B64" s="10" t="inlineStr">
        <is>
          <t>🟢 安全</t>
        </is>
      </c>
      <c r="C64" s="10" t="n">
        <v>14</v>
      </c>
      <c r="D64" s="10" t="inlineStr">
        <is>
          <t>8.8000%</t>
        </is>
      </c>
      <c r="E64" s="10" t="inlineStr">
        <is>
          <t>9.2000%</t>
        </is>
      </c>
      <c r="F64" s="10" t="inlineStr">
        <is>
          <t>0.4000pp</t>
        </is>
      </c>
      <c r="G64" s="13" t="n">
        <v>400</v>
      </c>
      <c r="H64" s="12" t="inlineStr">
        <is>
          <t>安全 300-500 分 (插值)</t>
        </is>
      </c>
      <c r="I64" s="10" t="inlineStr">
        <is>
          <t>1.54pp</t>
        </is>
      </c>
      <c r="J64" s="19" t="n"/>
      <c r="K64" s="19" t="n"/>
    </row>
    <row r="65" ht="16.5" customHeight="1">
      <c r="A65" s="19" t="n"/>
      <c r="B65" s="10" t="inlineStr">
        <is>
          <t>🟢 安全</t>
        </is>
      </c>
      <c r="C65" s="10" t="n">
        <v>15</v>
      </c>
      <c r="D65" s="10" t="inlineStr">
        <is>
          <t>9.2000%</t>
        </is>
      </c>
      <c r="E65" s="10" t="inlineStr">
        <is>
          <t>9.6000%</t>
        </is>
      </c>
      <c r="F65" s="10" t="inlineStr">
        <is>
          <t>0.4000pp</t>
        </is>
      </c>
      <c r="G65" s="13" t="n">
        <v>360</v>
      </c>
      <c r="H65" s="12" t="inlineStr">
        <is>
          <t>安全 300-500 分 (插值)</t>
        </is>
      </c>
      <c r="I65" s="10" t="inlineStr">
        <is>
          <t>1.14pp</t>
        </is>
      </c>
      <c r="J65" s="19" t="n"/>
      <c r="K65" s="19" t="n"/>
    </row>
    <row r="66" ht="16.5" customHeight="1">
      <c r="A66" s="19" t="n"/>
      <c r="B66" s="10" t="inlineStr">
        <is>
          <t>🟢 安全</t>
        </is>
      </c>
      <c r="C66" s="10" t="n">
        <v>16</v>
      </c>
      <c r="D66" s="10" t="inlineStr">
        <is>
          <t>9.6000%</t>
        </is>
      </c>
      <c r="E66" s="10" t="inlineStr">
        <is>
          <t>10.0000%</t>
        </is>
      </c>
      <c r="F66" s="10" t="inlineStr">
        <is>
          <t>0.4000pp</t>
        </is>
      </c>
      <c r="G66" s="13" t="n">
        <v>320</v>
      </c>
      <c r="H66" s="12" t="inlineStr">
        <is>
          <t>安全 300-500 分 (插值)</t>
        </is>
      </c>
      <c r="I66" s="10" t="inlineStr">
        <is>
          <t>0.74pp</t>
        </is>
      </c>
      <c r="J66" s="19" t="n"/>
      <c r="K66" s="19" t="n"/>
    </row>
    <row r="67" ht="16.5" customHeight="1">
      <c r="A67" s="19" t="n"/>
      <c r="B67" s="10" t="inlineStr">
        <is>
          <t>🟢🟢 满分</t>
        </is>
      </c>
      <c r="C67" s="10" t="n">
        <v>17</v>
      </c>
      <c r="D67" s="10" t="inlineStr">
        <is>
          <t>8.0000%</t>
        </is>
      </c>
      <c r="E67" s="10" t="inlineStr">
        <is>
          <t>8.0000%</t>
        </is>
      </c>
      <c r="F67" s="10" t="inlineStr">
        <is>
          <t>0.0000pp</t>
        </is>
      </c>
      <c r="G67" s="23" t="n">
        <v>500</v>
      </c>
      <c r="H67" s="12" t="inlineStr">
        <is>
          <t>⭐适度最优 500 分</t>
        </is>
      </c>
      <c r="I67" s="10" t="inlineStr">
        <is>
          <t>2.54pp</t>
        </is>
      </c>
      <c r="J67" s="19" t="n"/>
      <c r="K67" s="19" t="n"/>
    </row>
    <row r="68" ht="16.5" customHeight="1">
      <c r="A68" s="19" t="n"/>
      <c r="B68" s="10" t="inlineStr">
        <is>
          <t>🟢 安全</t>
        </is>
      </c>
      <c r="C68" s="10" t="n">
        <v>18</v>
      </c>
      <c r="D68" s="10" t="inlineStr">
        <is>
          <t>3.00%</t>
        </is>
      </c>
      <c r="E68" s="10" t="inlineStr">
        <is>
          <t>4.00%</t>
        </is>
      </c>
      <c r="F68" s="10" t="inlineStr">
        <is>
          <t>1.00pp</t>
        </is>
      </c>
      <c r="G68" s="13" t="n">
        <v>320</v>
      </c>
      <c r="H68" s="12" t="inlineStr">
        <is>
          <t>过优 500→减分 (插值)</t>
        </is>
      </c>
      <c r="I68" s="10" t="inlineStr">
        <is>
          <t>7.04pp</t>
        </is>
      </c>
      <c r="J68" s="19" t="n"/>
      <c r="K68" s="19" t="n"/>
    </row>
    <row r="69" ht="16.5" customHeight="1">
      <c r="A69" s="19" t="n"/>
      <c r="B69" s="10" t="inlineStr">
        <is>
          <t>🟢 安全</t>
        </is>
      </c>
      <c r="C69" s="10" t="n">
        <v>19</v>
      </c>
      <c r="D69" s="10" t="inlineStr">
        <is>
          <t>4.00%</t>
        </is>
      </c>
      <c r="E69" s="10" t="inlineStr">
        <is>
          <t>5.00%</t>
        </is>
      </c>
      <c r="F69" s="10" t="inlineStr">
        <is>
          <t>1.00pp</t>
        </is>
      </c>
      <c r="G69" s="13" t="n">
        <v>360</v>
      </c>
      <c r="H69" s="12" t="inlineStr">
        <is>
          <t>过优 500→减分 (插值)</t>
        </is>
      </c>
      <c r="I69" s="10" t="inlineStr">
        <is>
          <t>6.04pp</t>
        </is>
      </c>
      <c r="J69" s="19" t="n"/>
      <c r="K69" s="19" t="n"/>
    </row>
    <row r="70" ht="16.5" customHeight="1">
      <c r="A70" s="19" t="n"/>
      <c r="B70" s="10" t="inlineStr">
        <is>
          <t>🟢 安全</t>
        </is>
      </c>
      <c r="C70" s="10" t="n">
        <v>20</v>
      </c>
      <c r="D70" s="10" t="inlineStr">
        <is>
          <t>5.00%</t>
        </is>
      </c>
      <c r="E70" s="10" t="inlineStr">
        <is>
          <t>6.00%</t>
        </is>
      </c>
      <c r="F70" s="10" t="inlineStr">
        <is>
          <t>1.00pp</t>
        </is>
      </c>
      <c r="G70" s="13" t="n">
        <v>400</v>
      </c>
      <c r="H70" s="12" t="inlineStr">
        <is>
          <t>过优 500→减分 (插值)</t>
        </is>
      </c>
      <c r="I70" s="10" t="inlineStr">
        <is>
          <t>5.04pp</t>
        </is>
      </c>
      <c r="J70" s="19" t="n"/>
      <c r="K70" s="19" t="n"/>
    </row>
    <row r="71" ht="16.5" customHeight="1">
      <c r="A71" s="19" t="n"/>
      <c r="B71" s="10" t="inlineStr">
        <is>
          <t>🟢 安全</t>
        </is>
      </c>
      <c r="C71" s="10" t="n">
        <v>21</v>
      </c>
      <c r="D71" s="10" t="inlineStr">
        <is>
          <t>6.00%</t>
        </is>
      </c>
      <c r="E71" s="10" t="inlineStr">
        <is>
          <t>7.00%</t>
        </is>
      </c>
      <c r="F71" s="10" t="inlineStr">
        <is>
          <t>1.00pp</t>
        </is>
      </c>
      <c r="G71" s="13" t="n">
        <v>440</v>
      </c>
      <c r="H71" s="12" t="inlineStr">
        <is>
          <t>过优 500→减分 (插值)</t>
        </is>
      </c>
      <c r="I71" s="10" t="inlineStr">
        <is>
          <t>4.04pp</t>
        </is>
      </c>
      <c r="J71" s="19" t="n"/>
      <c r="K71" s="19" t="n"/>
    </row>
    <row r="72" ht="16.5" customHeight="1">
      <c r="A72" s="19" t="n"/>
      <c r="B72" s="10" t="inlineStr">
        <is>
          <t>🟢 安全</t>
        </is>
      </c>
      <c r="C72" s="10" t="n">
        <v>22</v>
      </c>
      <c r="D72" s="10" t="inlineStr">
        <is>
          <t>7.0000%</t>
        </is>
      </c>
      <c r="E72" s="10" t="inlineStr">
        <is>
          <t>8.0000%</t>
        </is>
      </c>
      <c r="F72" s="10" t="inlineStr">
        <is>
          <t>1.0000pp</t>
        </is>
      </c>
      <c r="G72" s="13" t="n">
        <v>480</v>
      </c>
      <c r="H72" s="12" t="inlineStr">
        <is>
          <t>过优 500→减分 (插值)</t>
        </is>
      </c>
      <c r="I72" s="10" t="inlineStr">
        <is>
          <t>3.04pp</t>
        </is>
      </c>
      <c r="J72" s="19" t="n"/>
      <c r="K72" s="19" t="n"/>
    </row>
    <row r="73" ht="16.5" customHeight="1">
      <c r="A73" s="24" t="n"/>
      <c r="B73" s="10" t="inlineStr">
        <is>
          <t>🟢 安全</t>
        </is>
      </c>
      <c r="C73" s="10" t="n">
        <v>23</v>
      </c>
      <c r="D73" s="10" t="inlineStr">
        <is>
          <t>0.00%</t>
        </is>
      </c>
      <c r="E73" s="10" t="inlineStr">
        <is>
          <t>3.00%</t>
        </is>
      </c>
      <c r="F73" s="10" t="inlineStr">
        <is>
          <t>3.00pp</t>
        </is>
      </c>
      <c r="G73" s="13" t="n">
        <v>450</v>
      </c>
      <c r="H73" s="12" t="inlineStr">
        <is>
          <t>极度过剩 450 分</t>
        </is>
      </c>
      <c r="I73" s="10" t="inlineStr">
        <is>
          <t>9.04pp</t>
        </is>
      </c>
      <c r="J73" s="24" t="n"/>
      <c r="K73" s="24" t="n"/>
    </row>
    <row r="74" ht="16.5" customHeight="1">
      <c r="A74" s="17" t="inlineStr">
        <is>
          <t>CET1</t>
        </is>
      </c>
      <c r="B74" s="10" t="inlineStr">
        <is>
          <t>🔴 不达标</t>
        </is>
      </c>
      <c r="C74" s="10" t="n">
        <v>1</v>
      </c>
      <c r="D74" s="10" t="inlineStr">
        <is>
          <t>0.00%</t>
        </is>
      </c>
      <c r="E74" s="10" t="inlineStr">
        <is>
          <t>8.70%</t>
        </is>
      </c>
      <c r="F74" s="10" t="inlineStr">
        <is>
          <t>8.70pp</t>
        </is>
      </c>
      <c r="G74" s="18" t="n">
        <v>0</v>
      </c>
      <c r="H74" s="12" t="inlineStr">
        <is>
          <t>不达标 (≤红线)</t>
        </is>
      </c>
      <c r="I74" s="10" t="inlineStr">
        <is>
          <t>4.63pp</t>
        </is>
      </c>
      <c r="J74" s="17" t="inlineStr">
        <is>
          <t>越高越好</t>
        </is>
      </c>
      <c r="K74" s="17" t="inlineStr">
        <is>
          <t>&lt; 8.7% (7.5 监管 + 0.5 附加 + 0.7 本行)</t>
        </is>
      </c>
    </row>
    <row r="75" ht="16.5" customHeight="1">
      <c r="A75" s="19" t="n"/>
      <c r="B75" s="10" t="inlineStr">
        <is>
          <t>🟠 危险</t>
        </is>
      </c>
      <c r="C75" s="10" t="n">
        <v>2</v>
      </c>
      <c r="D75" s="10" t="inlineStr">
        <is>
          <t>8.7000%</t>
        </is>
      </c>
      <c r="E75" s="10" t="inlineStr">
        <is>
          <t>8.7200%</t>
        </is>
      </c>
      <c r="F75" s="10" t="inlineStr">
        <is>
          <t>0.0200pp</t>
        </is>
      </c>
      <c r="G75" s="20" t="n">
        <v>15</v>
      </c>
      <c r="H75" s="12" t="inlineStr">
        <is>
          <t>危险 0-150 分 (插值)</t>
        </is>
      </c>
      <c r="I75" s="10" t="inlineStr">
        <is>
          <t>0.27pp</t>
        </is>
      </c>
      <c r="J75" s="19" t="n"/>
      <c r="K75" s="19" t="n"/>
    </row>
    <row r="76" ht="16.5" customHeight="1">
      <c r="A76" s="19" t="n"/>
      <c r="B76" s="10" t="inlineStr">
        <is>
          <t>🟠 危险</t>
        </is>
      </c>
      <c r="C76" s="10" t="n">
        <v>3</v>
      </c>
      <c r="D76" s="10" t="inlineStr">
        <is>
          <t>8.7200%</t>
        </is>
      </c>
      <c r="E76" s="10" t="inlineStr">
        <is>
          <t>8.7400%</t>
        </is>
      </c>
      <c r="F76" s="10" t="inlineStr">
        <is>
          <t>0.0200pp</t>
        </is>
      </c>
      <c r="G76" s="20" t="n">
        <v>45</v>
      </c>
      <c r="H76" s="12" t="inlineStr">
        <is>
          <t>危险 0-150 分 (插值)</t>
        </is>
      </c>
      <c r="I76" s="10" t="inlineStr">
        <is>
          <t>0.25pp</t>
        </is>
      </c>
      <c r="J76" s="19" t="n"/>
      <c r="K76" s="19" t="n"/>
    </row>
    <row r="77" ht="16.5" customHeight="1">
      <c r="A77" s="19" t="n"/>
      <c r="B77" s="10" t="inlineStr">
        <is>
          <t>🟠 危险</t>
        </is>
      </c>
      <c r="C77" s="10" t="n">
        <v>4</v>
      </c>
      <c r="D77" s="10" t="inlineStr">
        <is>
          <t>8.7400%</t>
        </is>
      </c>
      <c r="E77" s="10" t="inlineStr">
        <is>
          <t>8.7600%</t>
        </is>
      </c>
      <c r="F77" s="10" t="inlineStr">
        <is>
          <t>0.0200pp</t>
        </is>
      </c>
      <c r="G77" s="20" t="n">
        <v>75</v>
      </c>
      <c r="H77" s="12" t="inlineStr">
        <is>
          <t>危险 0-150 分 (插值)</t>
        </is>
      </c>
      <c r="I77" s="10" t="inlineStr">
        <is>
          <t>0.23pp</t>
        </is>
      </c>
      <c r="J77" s="19" t="n"/>
      <c r="K77" s="19" t="n"/>
    </row>
    <row r="78" ht="16.5" customHeight="1">
      <c r="A78" s="19" t="n"/>
      <c r="B78" s="10" t="inlineStr">
        <is>
          <t>🟠 危险</t>
        </is>
      </c>
      <c r="C78" s="10" t="n">
        <v>5</v>
      </c>
      <c r="D78" s="10" t="inlineStr">
        <is>
          <t>8.7600%</t>
        </is>
      </c>
      <c r="E78" s="10" t="inlineStr">
        <is>
          <t>8.7800%</t>
        </is>
      </c>
      <c r="F78" s="10" t="inlineStr">
        <is>
          <t>0.0200pp</t>
        </is>
      </c>
      <c r="G78" s="20" t="n">
        <v>105</v>
      </c>
      <c r="H78" s="12" t="inlineStr">
        <is>
          <t>危险 0-150 分 (插值)</t>
        </is>
      </c>
      <c r="I78" s="10" t="inlineStr">
        <is>
          <t>0.21pp</t>
        </is>
      </c>
      <c r="J78" s="19" t="n"/>
      <c r="K78" s="19" t="n"/>
    </row>
    <row r="79" ht="16.5" customHeight="1">
      <c r="A79" s="19" t="n"/>
      <c r="B79" s="10" t="inlineStr">
        <is>
          <t>🟠 危险</t>
        </is>
      </c>
      <c r="C79" s="10" t="n">
        <v>6</v>
      </c>
      <c r="D79" s="10" t="inlineStr">
        <is>
          <t>8.7800%</t>
        </is>
      </c>
      <c r="E79" s="10" t="inlineStr">
        <is>
          <t>8.8000%</t>
        </is>
      </c>
      <c r="F79" s="10" t="inlineStr">
        <is>
          <t>0.0200pp</t>
        </is>
      </c>
      <c r="G79" s="20" t="n">
        <v>135</v>
      </c>
      <c r="H79" s="12" t="inlineStr">
        <is>
          <t>危险 0-150 分 (插值)</t>
        </is>
      </c>
      <c r="I79" s="10" t="inlineStr">
        <is>
          <t>0.19pp</t>
        </is>
      </c>
      <c r="J79" s="19" t="n"/>
      <c r="K79" s="19" t="n"/>
    </row>
    <row r="80" ht="16.5" customHeight="1">
      <c r="A80" s="19" t="n"/>
      <c r="B80" s="10" t="inlineStr">
        <is>
          <t>🟡 预警</t>
        </is>
      </c>
      <c r="C80" s="10" t="n">
        <v>7</v>
      </c>
      <c r="D80" s="10" t="inlineStr">
        <is>
          <t>8.8000%</t>
        </is>
      </c>
      <c r="E80" s="10" t="inlineStr">
        <is>
          <t>8.8400%</t>
        </is>
      </c>
      <c r="F80" s="10" t="inlineStr">
        <is>
          <t>0.0400pp</t>
        </is>
      </c>
      <c r="G80" s="14" t="n">
        <v>165</v>
      </c>
      <c r="H80" s="12" t="inlineStr">
        <is>
          <t>预警 150-300 分 (插值)</t>
        </is>
      </c>
      <c r="I80" s="10" t="inlineStr">
        <is>
          <t>0.16pp</t>
        </is>
      </c>
      <c r="J80" s="19" t="n"/>
      <c r="K80" s="19" t="n"/>
    </row>
    <row r="81" ht="16.5" customHeight="1">
      <c r="A81" s="19" t="n"/>
      <c r="B81" s="10" t="inlineStr">
        <is>
          <t>🟡 预警</t>
        </is>
      </c>
      <c r="C81" s="10" t="n">
        <v>8</v>
      </c>
      <c r="D81" s="10" t="inlineStr">
        <is>
          <t>8.8400%</t>
        </is>
      </c>
      <c r="E81" s="10" t="inlineStr">
        <is>
          <t>8.8800%</t>
        </is>
      </c>
      <c r="F81" s="10" t="inlineStr">
        <is>
          <t>0.0400pp</t>
        </is>
      </c>
      <c r="G81" s="14" t="n">
        <v>195</v>
      </c>
      <c r="H81" s="12" t="inlineStr">
        <is>
          <t>预警 150-300 分 (插值)</t>
        </is>
      </c>
      <c r="I81" s="10" t="inlineStr">
        <is>
          <t>0.12pp</t>
        </is>
      </c>
      <c r="J81" s="19" t="n"/>
      <c r="K81" s="19" t="n"/>
    </row>
    <row r="82" ht="16.5" customHeight="1">
      <c r="A82" s="19" t="n"/>
      <c r="B82" s="10" t="inlineStr">
        <is>
          <t>🟡 预警</t>
        </is>
      </c>
      <c r="C82" s="10" t="n">
        <v>9</v>
      </c>
      <c r="D82" s="10" t="inlineStr">
        <is>
          <t>8.8800%</t>
        </is>
      </c>
      <c r="E82" s="10" t="inlineStr">
        <is>
          <t>8.9200%</t>
        </is>
      </c>
      <c r="F82" s="10" t="inlineStr">
        <is>
          <t>0.0400pp</t>
        </is>
      </c>
      <c r="G82" s="14" t="n">
        <v>225</v>
      </c>
      <c r="H82" s="12" t="inlineStr">
        <is>
          <t>预警 150-300 分 (插值)</t>
        </is>
      </c>
      <c r="I82" s="10" t="inlineStr">
        <is>
          <t>0.08pp</t>
        </is>
      </c>
      <c r="J82" s="19" t="n"/>
      <c r="K82" s="19" t="n"/>
    </row>
    <row r="83" ht="16.5" customHeight="1">
      <c r="A83" s="19" t="n"/>
      <c r="B83" s="10" t="inlineStr">
        <is>
          <t>🟡 预警</t>
        </is>
      </c>
      <c r="C83" s="10" t="n">
        <v>10</v>
      </c>
      <c r="D83" s="10" t="inlineStr">
        <is>
          <t>8.9200%</t>
        </is>
      </c>
      <c r="E83" s="10" t="inlineStr">
        <is>
          <t>8.9600%</t>
        </is>
      </c>
      <c r="F83" s="10" t="inlineStr">
        <is>
          <t>0.0400pp</t>
        </is>
      </c>
      <c r="G83" s="14" t="n">
        <v>255</v>
      </c>
      <c r="H83" s="12" t="inlineStr">
        <is>
          <t>预警 150-300 分 (插值)</t>
        </is>
      </c>
      <c r="I83" s="10" t="inlineStr">
        <is>
          <t>0.04pp</t>
        </is>
      </c>
      <c r="J83" s="19" t="n"/>
      <c r="K83" s="19" t="n"/>
    </row>
    <row r="84" ht="16.5" customHeight="1">
      <c r="A84" s="19" t="n"/>
      <c r="B84" s="10" t="inlineStr">
        <is>
          <t>🟡 预警</t>
        </is>
      </c>
      <c r="C84" s="21" t="n">
        <v>11</v>
      </c>
      <c r="D84" s="10" t="inlineStr">
        <is>
          <t>8.9600%</t>
        </is>
      </c>
      <c r="E84" s="10" t="inlineStr">
        <is>
          <t>9.0000%</t>
        </is>
      </c>
      <c r="F84" s="10" t="inlineStr">
        <is>
          <t>0.0400pp</t>
        </is>
      </c>
      <c r="G84" s="14" t="n">
        <v>285</v>
      </c>
      <c r="H84" s="22" t="inlineStr">
        <is>
          <t>预警 150-300 分 (插值)</t>
        </is>
      </c>
      <c r="I84" s="10" t="inlineStr">
        <is>
          <t>0.00pp</t>
        </is>
      </c>
      <c r="J84" s="19" t="n"/>
      <c r="K84" s="19" t="n"/>
    </row>
    <row r="85" ht="16.5" customHeight="1">
      <c r="A85" s="19" t="n"/>
      <c r="B85" s="10" t="inlineStr">
        <is>
          <t>🟢 安全</t>
        </is>
      </c>
      <c r="C85" s="10" t="n">
        <v>12</v>
      </c>
      <c r="D85" s="10" t="inlineStr">
        <is>
          <t>9.0000%</t>
        </is>
      </c>
      <c r="E85" s="10" t="inlineStr">
        <is>
          <t>9.2000%</t>
        </is>
      </c>
      <c r="F85" s="10" t="inlineStr">
        <is>
          <t>0.2000pp</t>
        </is>
      </c>
      <c r="G85" s="13" t="n">
        <v>320</v>
      </c>
      <c r="H85" s="12" t="inlineStr">
        <is>
          <t>安全 300-500 分 (插值)</t>
        </is>
      </c>
      <c r="I85" s="10" t="inlineStr">
        <is>
          <t>0.12pp</t>
        </is>
      </c>
      <c r="J85" s="19" t="n"/>
      <c r="K85" s="19" t="n"/>
    </row>
    <row r="86" ht="16.5" customHeight="1">
      <c r="A86" s="19" t="n"/>
      <c r="B86" s="10" t="inlineStr">
        <is>
          <t>🟢 安全</t>
        </is>
      </c>
      <c r="C86" s="10" t="n">
        <v>13</v>
      </c>
      <c r="D86" s="10" t="inlineStr">
        <is>
          <t>9.2000%</t>
        </is>
      </c>
      <c r="E86" s="10" t="inlineStr">
        <is>
          <t>9.4000%</t>
        </is>
      </c>
      <c r="F86" s="10" t="inlineStr">
        <is>
          <t>0.2000pp</t>
        </is>
      </c>
      <c r="G86" s="13" t="n">
        <v>360</v>
      </c>
      <c r="H86" s="12" t="inlineStr">
        <is>
          <t>安全 300-500 分 (插值)</t>
        </is>
      </c>
      <c r="I86" s="10" t="inlineStr">
        <is>
          <t>0.32pp</t>
        </is>
      </c>
      <c r="J86" s="19" t="n"/>
      <c r="K86" s="19" t="n"/>
    </row>
    <row r="87" ht="16.5" customHeight="1">
      <c r="A87" s="19" t="n"/>
      <c r="B87" s="10" t="inlineStr">
        <is>
          <t>🟢 安全</t>
        </is>
      </c>
      <c r="C87" s="10" t="n">
        <v>14</v>
      </c>
      <c r="D87" s="10" t="inlineStr">
        <is>
          <t>9.4000%</t>
        </is>
      </c>
      <c r="E87" s="10" t="inlineStr">
        <is>
          <t>9.6000%</t>
        </is>
      </c>
      <c r="F87" s="10" t="inlineStr">
        <is>
          <t>0.2000pp</t>
        </is>
      </c>
      <c r="G87" s="13" t="n">
        <v>400</v>
      </c>
      <c r="H87" s="12" t="inlineStr">
        <is>
          <t>安全 300-500 分 (插值)</t>
        </is>
      </c>
      <c r="I87" s="10" t="inlineStr">
        <is>
          <t>0.52pp</t>
        </is>
      </c>
      <c r="J87" s="19" t="n"/>
      <c r="K87" s="19" t="n"/>
    </row>
    <row r="88" ht="16.5" customHeight="1">
      <c r="A88" s="19" t="n"/>
      <c r="B88" s="10" t="inlineStr">
        <is>
          <t>🟢 安全</t>
        </is>
      </c>
      <c r="C88" s="10" t="n">
        <v>15</v>
      </c>
      <c r="D88" s="10" t="inlineStr">
        <is>
          <t>9.6000%</t>
        </is>
      </c>
      <c r="E88" s="10" t="inlineStr">
        <is>
          <t>9.8000%</t>
        </is>
      </c>
      <c r="F88" s="10" t="inlineStr">
        <is>
          <t>0.2000pp</t>
        </is>
      </c>
      <c r="G88" s="13" t="n">
        <v>440</v>
      </c>
      <c r="H88" s="12" t="inlineStr">
        <is>
          <t>安全 300-500 分 (插值)</t>
        </is>
      </c>
      <c r="I88" s="10" t="inlineStr">
        <is>
          <t>0.72pp</t>
        </is>
      </c>
      <c r="J88" s="19" t="n"/>
      <c r="K88" s="19" t="n"/>
    </row>
    <row r="89" ht="16.5" customHeight="1">
      <c r="A89" s="19" t="n"/>
      <c r="B89" s="10" t="inlineStr">
        <is>
          <t>🟢 安全</t>
        </is>
      </c>
      <c r="C89" s="10" t="n">
        <v>16</v>
      </c>
      <c r="D89" s="10" t="inlineStr">
        <is>
          <t>9.8000%</t>
        </is>
      </c>
      <c r="E89" s="10" t="inlineStr">
        <is>
          <t>10.0000%</t>
        </is>
      </c>
      <c r="F89" s="10" t="inlineStr">
        <is>
          <t>0.2000pp</t>
        </is>
      </c>
      <c r="G89" s="13" t="n">
        <v>480</v>
      </c>
      <c r="H89" s="12" t="inlineStr">
        <is>
          <t>安全 300-500 分 (插值)</t>
        </is>
      </c>
      <c r="I89" s="10" t="inlineStr">
        <is>
          <t>0.92pp</t>
        </is>
      </c>
      <c r="J89" s="19" t="n"/>
      <c r="K89" s="19" t="n"/>
    </row>
    <row r="90" ht="16.5" customHeight="1">
      <c r="A90" s="19" t="n"/>
      <c r="B90" s="10" t="inlineStr">
        <is>
          <t>🟢🟢 满分</t>
        </is>
      </c>
      <c r="C90" s="10" t="n">
        <v>17</v>
      </c>
      <c r="D90" s="10" t="inlineStr">
        <is>
          <t>10.0000%</t>
        </is>
      </c>
      <c r="E90" s="10" t="inlineStr">
        <is>
          <t>10.0000%</t>
        </is>
      </c>
      <c r="F90" s="10" t="inlineStr">
        <is>
          <t>0.0000pp</t>
        </is>
      </c>
      <c r="G90" s="23" t="n">
        <v>500</v>
      </c>
      <c r="H90" s="12" t="inlineStr">
        <is>
          <t>⭐适度最优 500 分</t>
        </is>
      </c>
      <c r="I90" s="10" t="inlineStr">
        <is>
          <t>1.02pp</t>
        </is>
      </c>
      <c r="J90" s="19" t="n"/>
      <c r="K90" s="19" t="n"/>
    </row>
    <row r="91" ht="16.5" customHeight="1">
      <c r="A91" s="19" t="n"/>
      <c r="B91" s="10" t="inlineStr">
        <is>
          <t>🟢 安全</t>
        </is>
      </c>
      <c r="C91" s="10" t="n">
        <v>18</v>
      </c>
      <c r="D91" s="10" t="inlineStr">
        <is>
          <t>10.0000%</t>
        </is>
      </c>
      <c r="E91" s="10" t="inlineStr">
        <is>
          <t>10.6000%</t>
        </is>
      </c>
      <c r="F91" s="10" t="inlineStr">
        <is>
          <t>0.6000pp</t>
        </is>
      </c>
      <c r="G91" s="13" t="n">
        <v>480</v>
      </c>
      <c r="H91" s="12" t="inlineStr">
        <is>
          <t>过优 500→减分 (插值)</t>
        </is>
      </c>
      <c r="I91" s="10" t="inlineStr">
        <is>
          <t>1.32pp</t>
        </is>
      </c>
      <c r="J91" s="19" t="n"/>
      <c r="K91" s="19" t="n"/>
    </row>
    <row r="92" ht="16.5" customHeight="1">
      <c r="A92" s="19" t="n"/>
      <c r="B92" s="10" t="inlineStr">
        <is>
          <t>🟢 安全</t>
        </is>
      </c>
      <c r="C92" s="10" t="n">
        <v>19</v>
      </c>
      <c r="D92" s="10" t="inlineStr">
        <is>
          <t>10.6000%</t>
        </is>
      </c>
      <c r="E92" s="10" t="inlineStr">
        <is>
          <t>11.2000%</t>
        </is>
      </c>
      <c r="F92" s="10" t="inlineStr">
        <is>
          <t>0.6000pp</t>
        </is>
      </c>
      <c r="G92" s="13" t="n">
        <v>440</v>
      </c>
      <c r="H92" s="12" t="inlineStr">
        <is>
          <t>过优 500→减分 (插值)</t>
        </is>
      </c>
      <c r="I92" s="10" t="inlineStr">
        <is>
          <t>1.92pp</t>
        </is>
      </c>
      <c r="J92" s="19" t="n"/>
      <c r="K92" s="19" t="n"/>
    </row>
    <row r="93" ht="16.5" customHeight="1">
      <c r="A93" s="19" t="n"/>
      <c r="B93" s="10" t="inlineStr">
        <is>
          <t>🟢 安全</t>
        </is>
      </c>
      <c r="C93" s="10" t="n">
        <v>20</v>
      </c>
      <c r="D93" s="10" t="inlineStr">
        <is>
          <t>11.2000%</t>
        </is>
      </c>
      <c r="E93" s="10" t="inlineStr">
        <is>
          <t>11.8000%</t>
        </is>
      </c>
      <c r="F93" s="10" t="inlineStr">
        <is>
          <t>0.6000pp</t>
        </is>
      </c>
      <c r="G93" s="13" t="n">
        <v>400</v>
      </c>
      <c r="H93" s="12" t="inlineStr">
        <is>
          <t>过优 500→减分 (插值)</t>
        </is>
      </c>
      <c r="I93" s="10" t="inlineStr">
        <is>
          <t>2.52pp</t>
        </is>
      </c>
      <c r="J93" s="19" t="n"/>
      <c r="K93" s="19" t="n"/>
    </row>
    <row r="94" ht="16.5" customHeight="1">
      <c r="A94" s="19" t="n"/>
      <c r="B94" s="10" t="inlineStr">
        <is>
          <t>🟢 安全</t>
        </is>
      </c>
      <c r="C94" s="10" t="n">
        <v>21</v>
      </c>
      <c r="D94" s="10" t="inlineStr">
        <is>
          <t>11.8000%</t>
        </is>
      </c>
      <c r="E94" s="10" t="inlineStr">
        <is>
          <t>12.4000%</t>
        </is>
      </c>
      <c r="F94" s="10" t="inlineStr">
        <is>
          <t>0.6000pp</t>
        </is>
      </c>
      <c r="G94" s="13" t="n">
        <v>360</v>
      </c>
      <c r="H94" s="12" t="inlineStr">
        <is>
          <t>过优 500→减分 (插值)</t>
        </is>
      </c>
      <c r="I94" s="10" t="inlineStr">
        <is>
          <t>3.12pp</t>
        </is>
      </c>
      <c r="J94" s="19" t="n"/>
      <c r="K94" s="19" t="n"/>
    </row>
    <row r="95" ht="16.5" customHeight="1">
      <c r="A95" s="19" t="n"/>
      <c r="B95" s="10" t="inlineStr">
        <is>
          <t>🟢 安全</t>
        </is>
      </c>
      <c r="C95" s="10" t="n">
        <v>22</v>
      </c>
      <c r="D95" s="10" t="inlineStr">
        <is>
          <t>12.4000%</t>
        </is>
      </c>
      <c r="E95" s="10" t="inlineStr">
        <is>
          <t>13.0000%</t>
        </is>
      </c>
      <c r="F95" s="10" t="inlineStr">
        <is>
          <t>0.6000pp</t>
        </is>
      </c>
      <c r="G95" s="13" t="n">
        <v>320</v>
      </c>
      <c r="H95" s="12" t="inlineStr">
        <is>
          <t>过优 500→减分 (插值)</t>
        </is>
      </c>
      <c r="I95" s="10" t="inlineStr">
        <is>
          <t>3.72pp</t>
        </is>
      </c>
      <c r="J95" s="19" t="n"/>
      <c r="K95" s="19" t="n"/>
    </row>
    <row r="96" ht="16.5" customHeight="1">
      <c r="A96" s="24" t="n"/>
      <c r="B96" s="10" t="inlineStr">
        <is>
          <t>🟢 安全</t>
        </is>
      </c>
      <c r="C96" s="10" t="n">
        <v>23</v>
      </c>
      <c r="D96" s="10" t="inlineStr">
        <is>
          <t>13.00%</t>
        </is>
      </c>
      <c r="E96" s="10" t="inlineStr">
        <is>
          <t>999.00%</t>
        </is>
      </c>
      <c r="F96" s="10" t="inlineStr">
        <is>
          <t>986.00pp</t>
        </is>
      </c>
      <c r="G96" s="13" t="n">
        <v>300</v>
      </c>
      <c r="H96" s="12" t="inlineStr">
        <is>
          <t>极度过剩 300 分</t>
        </is>
      </c>
      <c r="I96" s="10" t="inlineStr">
        <is>
          <t>497.02pp</t>
        </is>
      </c>
      <c r="J96" s="24" t="n"/>
      <c r="K96" s="24" t="n"/>
    </row>
    <row r="97" ht="16.5" customHeight="1">
      <c r="A97" s="17" t="inlineStr">
        <is>
          <t>ROE</t>
        </is>
      </c>
      <c r="B97" s="10" t="inlineStr">
        <is>
          <t>🔴 不达标</t>
        </is>
      </c>
      <c r="C97" s="10" t="n">
        <v>1</v>
      </c>
      <c r="D97" s="10" t="inlineStr">
        <is>
          <t>0.00%</t>
        </is>
      </c>
      <c r="E97" s="10" t="inlineStr">
        <is>
          <t>6.00%</t>
        </is>
      </c>
      <c r="F97" s="10" t="inlineStr">
        <is>
          <t>6.00pp</t>
        </is>
      </c>
      <c r="G97" s="18" t="n">
        <v>0</v>
      </c>
      <c r="H97" s="12" t="inlineStr">
        <is>
          <t>不达标 (≤红线)</t>
        </is>
      </c>
      <c r="I97" s="10" t="inlineStr">
        <is>
          <t>6.61pp</t>
        </is>
      </c>
      <c r="J97" s="17" t="inlineStr">
        <is>
          <t>越高越好</t>
        </is>
      </c>
      <c r="K97" s="17" t="inlineStr">
        <is>
          <t>&lt; 6% (硬约束, 非监管但不可接受)</t>
        </is>
      </c>
    </row>
    <row r="98" ht="16.5" customHeight="1">
      <c r="A98" s="19" t="n"/>
      <c r="B98" s="10" t="inlineStr">
        <is>
          <t>🟠 危险</t>
        </is>
      </c>
      <c r="C98" s="10" t="n">
        <v>2</v>
      </c>
      <c r="D98" s="10" t="inlineStr">
        <is>
          <t>6.0000%</t>
        </is>
      </c>
      <c r="E98" s="10" t="inlineStr">
        <is>
          <t>6.4000%</t>
        </is>
      </c>
      <c r="F98" s="10" t="inlineStr">
        <is>
          <t>0.4000pp</t>
        </is>
      </c>
      <c r="G98" s="20" t="n">
        <v>15</v>
      </c>
      <c r="H98" s="12" t="inlineStr">
        <is>
          <t>危险 0-150 分 (插值)</t>
        </is>
      </c>
      <c r="I98" s="10" t="inlineStr">
        <is>
          <t>3.41pp</t>
        </is>
      </c>
      <c r="J98" s="19" t="n"/>
      <c r="K98" s="19" t="n"/>
    </row>
    <row r="99" ht="16.5" customHeight="1">
      <c r="A99" s="19" t="n"/>
      <c r="B99" s="10" t="inlineStr">
        <is>
          <t>🟠 危险</t>
        </is>
      </c>
      <c r="C99" s="10" t="n">
        <v>3</v>
      </c>
      <c r="D99" s="10" t="inlineStr">
        <is>
          <t>6.4000%</t>
        </is>
      </c>
      <c r="E99" s="10" t="inlineStr">
        <is>
          <t>6.8000%</t>
        </is>
      </c>
      <c r="F99" s="10" t="inlineStr">
        <is>
          <t>0.4000pp</t>
        </is>
      </c>
      <c r="G99" s="20" t="n">
        <v>45</v>
      </c>
      <c r="H99" s="12" t="inlineStr">
        <is>
          <t>危险 0-150 分 (插值)</t>
        </is>
      </c>
      <c r="I99" s="10" t="inlineStr">
        <is>
          <t>3.01pp</t>
        </is>
      </c>
      <c r="J99" s="19" t="n"/>
      <c r="K99" s="19" t="n"/>
    </row>
    <row r="100" ht="16.5" customHeight="1">
      <c r="A100" s="19" t="n"/>
      <c r="B100" s="10" t="inlineStr">
        <is>
          <t>🟠 危险</t>
        </is>
      </c>
      <c r="C100" s="10" t="n">
        <v>4</v>
      </c>
      <c r="D100" s="10" t="inlineStr">
        <is>
          <t>6.8000%</t>
        </is>
      </c>
      <c r="E100" s="10" t="inlineStr">
        <is>
          <t>7.2000%</t>
        </is>
      </c>
      <c r="F100" s="10" t="inlineStr">
        <is>
          <t>0.4000pp</t>
        </is>
      </c>
      <c r="G100" s="20" t="n">
        <v>75</v>
      </c>
      <c r="H100" s="12" t="inlineStr">
        <is>
          <t>危险 0-150 分 (插值)</t>
        </is>
      </c>
      <c r="I100" s="10" t="inlineStr">
        <is>
          <t>2.61pp</t>
        </is>
      </c>
      <c r="J100" s="19" t="n"/>
      <c r="K100" s="19" t="n"/>
    </row>
    <row r="101" ht="16.5" customHeight="1">
      <c r="A101" s="19" t="n"/>
      <c r="B101" s="10" t="inlineStr">
        <is>
          <t>🟠 危险</t>
        </is>
      </c>
      <c r="C101" s="10" t="n">
        <v>5</v>
      </c>
      <c r="D101" s="10" t="inlineStr">
        <is>
          <t>7.2000%</t>
        </is>
      </c>
      <c r="E101" s="10" t="inlineStr">
        <is>
          <t>7.6000%</t>
        </is>
      </c>
      <c r="F101" s="10" t="inlineStr">
        <is>
          <t>0.4000pp</t>
        </is>
      </c>
      <c r="G101" s="20" t="n">
        <v>105</v>
      </c>
      <c r="H101" s="12" t="inlineStr">
        <is>
          <t>危险 0-150 分 (插值)</t>
        </is>
      </c>
      <c r="I101" s="10" t="inlineStr">
        <is>
          <t>2.21pp</t>
        </is>
      </c>
      <c r="J101" s="19" t="n"/>
      <c r="K101" s="19" t="n"/>
    </row>
    <row r="102" ht="16.5" customHeight="1">
      <c r="A102" s="19" t="n"/>
      <c r="B102" s="10" t="inlineStr">
        <is>
          <t>🟠 危险</t>
        </is>
      </c>
      <c r="C102" s="10" t="n">
        <v>6</v>
      </c>
      <c r="D102" s="10" t="inlineStr">
        <is>
          <t>7.6000%</t>
        </is>
      </c>
      <c r="E102" s="10" t="inlineStr">
        <is>
          <t>8.0000%</t>
        </is>
      </c>
      <c r="F102" s="10" t="inlineStr">
        <is>
          <t>0.4000pp</t>
        </is>
      </c>
      <c r="G102" s="20" t="n">
        <v>135</v>
      </c>
      <c r="H102" s="12" t="inlineStr">
        <is>
          <t>危险 0-150 分 (插值)</t>
        </is>
      </c>
      <c r="I102" s="10" t="inlineStr">
        <is>
          <t>1.81pp</t>
        </is>
      </c>
      <c r="J102" s="19" t="n"/>
      <c r="K102" s="19" t="n"/>
    </row>
    <row r="103" ht="16.5" customHeight="1">
      <c r="A103" s="19" t="n"/>
      <c r="B103" s="10" t="inlineStr">
        <is>
          <t>🟡 预警</t>
        </is>
      </c>
      <c r="C103" s="10" t="n">
        <v>7</v>
      </c>
      <c r="D103" s="10" t="inlineStr">
        <is>
          <t>8.0000%</t>
        </is>
      </c>
      <c r="E103" s="10" t="inlineStr">
        <is>
          <t>8.2000%</t>
        </is>
      </c>
      <c r="F103" s="10" t="inlineStr">
        <is>
          <t>0.2000pp</t>
        </is>
      </c>
      <c r="G103" s="14" t="n">
        <v>165</v>
      </c>
      <c r="H103" s="12" t="inlineStr">
        <is>
          <t>预警 150-300 分 (插值)</t>
        </is>
      </c>
      <c r="I103" s="10" t="inlineStr">
        <is>
          <t>1.51pp</t>
        </is>
      </c>
      <c r="J103" s="19" t="n"/>
      <c r="K103" s="19" t="n"/>
    </row>
    <row r="104" ht="16.5" customHeight="1">
      <c r="A104" s="19" t="n"/>
      <c r="B104" s="10" t="inlineStr">
        <is>
          <t>🟡 预警</t>
        </is>
      </c>
      <c r="C104" s="10" t="n">
        <v>8</v>
      </c>
      <c r="D104" s="10" t="inlineStr">
        <is>
          <t>8.2000%</t>
        </is>
      </c>
      <c r="E104" s="10" t="inlineStr">
        <is>
          <t>8.4000%</t>
        </is>
      </c>
      <c r="F104" s="10" t="inlineStr">
        <is>
          <t>0.2000pp</t>
        </is>
      </c>
      <c r="G104" s="14" t="n">
        <v>195</v>
      </c>
      <c r="H104" s="12" t="inlineStr">
        <is>
          <t>预警 150-300 分 (插值)</t>
        </is>
      </c>
      <c r="I104" s="10" t="inlineStr">
        <is>
          <t>1.31pp</t>
        </is>
      </c>
      <c r="J104" s="19" t="n"/>
      <c r="K104" s="19" t="n"/>
    </row>
    <row r="105" ht="16.5" customHeight="1">
      <c r="A105" s="19" t="n"/>
      <c r="B105" s="10" t="inlineStr">
        <is>
          <t>🟡 预警</t>
        </is>
      </c>
      <c r="C105" s="10" t="n">
        <v>9</v>
      </c>
      <c r="D105" s="10" t="inlineStr">
        <is>
          <t>8.4000%</t>
        </is>
      </c>
      <c r="E105" s="10" t="inlineStr">
        <is>
          <t>8.6000%</t>
        </is>
      </c>
      <c r="F105" s="10" t="inlineStr">
        <is>
          <t>0.2000pp</t>
        </is>
      </c>
      <c r="G105" s="14" t="n">
        <v>225</v>
      </c>
      <c r="H105" s="12" t="inlineStr">
        <is>
          <t>预警 150-300 分 (插值)</t>
        </is>
      </c>
      <c r="I105" s="10" t="inlineStr">
        <is>
          <t>1.11pp</t>
        </is>
      </c>
      <c r="J105" s="19" t="n"/>
      <c r="K105" s="19" t="n"/>
    </row>
    <row r="106" ht="16.5" customHeight="1">
      <c r="A106" s="19" t="n"/>
      <c r="B106" s="10" t="inlineStr">
        <is>
          <t>🟡 预警</t>
        </is>
      </c>
      <c r="C106" s="10" t="n">
        <v>10</v>
      </c>
      <c r="D106" s="10" t="inlineStr">
        <is>
          <t>8.6000%</t>
        </is>
      </c>
      <c r="E106" s="10" t="inlineStr">
        <is>
          <t>8.8000%</t>
        </is>
      </c>
      <c r="F106" s="10" t="inlineStr">
        <is>
          <t>0.2000pp</t>
        </is>
      </c>
      <c r="G106" s="14" t="n">
        <v>255</v>
      </c>
      <c r="H106" s="12" t="inlineStr">
        <is>
          <t>预警 150-300 分 (插值)</t>
        </is>
      </c>
      <c r="I106" s="10" t="inlineStr">
        <is>
          <t>0.91pp</t>
        </is>
      </c>
      <c r="J106" s="19" t="n"/>
      <c r="K106" s="19" t="n"/>
    </row>
    <row r="107" ht="16.5" customHeight="1">
      <c r="A107" s="19" t="n"/>
      <c r="B107" s="10" t="inlineStr">
        <is>
          <t>🟡 预警</t>
        </is>
      </c>
      <c r="C107" s="10" t="n">
        <v>11</v>
      </c>
      <c r="D107" s="10" t="inlineStr">
        <is>
          <t>8.8000%</t>
        </is>
      </c>
      <c r="E107" s="10" t="inlineStr">
        <is>
          <t>9.0000%</t>
        </is>
      </c>
      <c r="F107" s="10" t="inlineStr">
        <is>
          <t>0.2000pp</t>
        </is>
      </c>
      <c r="G107" s="14" t="n">
        <v>285</v>
      </c>
      <c r="H107" s="12" t="inlineStr">
        <is>
          <t>预警 150-300 分 (插值)</t>
        </is>
      </c>
      <c r="I107" s="10" t="inlineStr">
        <is>
          <t>0.71pp</t>
        </is>
      </c>
      <c r="J107" s="19" t="n"/>
      <c r="K107" s="19" t="n"/>
    </row>
    <row r="108" ht="16.5" customHeight="1">
      <c r="A108" s="19" t="n"/>
      <c r="B108" s="10" t="inlineStr">
        <is>
          <t>🟢 安全</t>
        </is>
      </c>
      <c r="C108" s="10" t="n">
        <v>12</v>
      </c>
      <c r="D108" s="10" t="inlineStr">
        <is>
          <t>9.0000%</t>
        </is>
      </c>
      <c r="E108" s="10" t="inlineStr">
        <is>
          <t>9.6000%</t>
        </is>
      </c>
      <c r="F108" s="10" t="inlineStr">
        <is>
          <t>0.6000pp</t>
        </is>
      </c>
      <c r="G108" s="13" t="n">
        <v>320</v>
      </c>
      <c r="H108" s="12" t="inlineStr">
        <is>
          <t>安全 300-500 分 (插值)</t>
        </is>
      </c>
      <c r="I108" s="10" t="inlineStr">
        <is>
          <t>0.31pp</t>
        </is>
      </c>
      <c r="J108" s="19" t="n"/>
      <c r="K108" s="19" t="n"/>
    </row>
    <row r="109" ht="16.5" customHeight="1">
      <c r="A109" s="19" t="n"/>
      <c r="B109" s="10" t="inlineStr">
        <is>
          <t>🟢 安全</t>
        </is>
      </c>
      <c r="C109" s="21" t="n">
        <v>13</v>
      </c>
      <c r="D109" s="10" t="inlineStr">
        <is>
          <t>9.6000%</t>
        </is>
      </c>
      <c r="E109" s="10" t="inlineStr">
        <is>
          <t>10.2000%</t>
        </is>
      </c>
      <c r="F109" s="10" t="inlineStr">
        <is>
          <t>0.6000pp</t>
        </is>
      </c>
      <c r="G109" s="13" t="n">
        <v>360</v>
      </c>
      <c r="H109" s="22" t="inlineStr">
        <is>
          <t>安全 300-500 分 (插值)</t>
        </is>
      </c>
      <c r="I109" s="10" t="inlineStr">
        <is>
          <t>0.29pp</t>
        </is>
      </c>
      <c r="J109" s="19" t="n"/>
      <c r="K109" s="19" t="n"/>
    </row>
    <row r="110" ht="16.5" customHeight="1">
      <c r="A110" s="19" t="n"/>
      <c r="B110" s="10" t="inlineStr">
        <is>
          <t>🟢 安全</t>
        </is>
      </c>
      <c r="C110" s="10" t="n">
        <v>14</v>
      </c>
      <c r="D110" s="10" t="inlineStr">
        <is>
          <t>10.2000%</t>
        </is>
      </c>
      <c r="E110" s="10" t="inlineStr">
        <is>
          <t>10.8000%</t>
        </is>
      </c>
      <c r="F110" s="10" t="inlineStr">
        <is>
          <t>0.6000pp</t>
        </is>
      </c>
      <c r="G110" s="13" t="n">
        <v>400</v>
      </c>
      <c r="H110" s="12" t="inlineStr">
        <is>
          <t>安全 300-500 分 (插值)</t>
        </is>
      </c>
      <c r="I110" s="10" t="inlineStr">
        <is>
          <t>0.89pp</t>
        </is>
      </c>
      <c r="J110" s="19" t="n"/>
      <c r="K110" s="19" t="n"/>
    </row>
    <row r="111" ht="16.5" customHeight="1">
      <c r="A111" s="19" t="n"/>
      <c r="B111" s="10" t="inlineStr">
        <is>
          <t>🟢 安全</t>
        </is>
      </c>
      <c r="C111" s="10" t="n">
        <v>15</v>
      </c>
      <c r="D111" s="10" t="inlineStr">
        <is>
          <t>10.8000%</t>
        </is>
      </c>
      <c r="E111" s="10" t="inlineStr">
        <is>
          <t>11.4000%</t>
        </is>
      </c>
      <c r="F111" s="10" t="inlineStr">
        <is>
          <t>0.6000pp</t>
        </is>
      </c>
      <c r="G111" s="13" t="n">
        <v>440</v>
      </c>
      <c r="H111" s="12" t="inlineStr">
        <is>
          <t>安全 300-500 分 (插值)</t>
        </is>
      </c>
      <c r="I111" s="10" t="inlineStr">
        <is>
          <t>1.49pp</t>
        </is>
      </c>
      <c r="J111" s="19" t="n"/>
      <c r="K111" s="19" t="n"/>
    </row>
    <row r="112" ht="16.5" customHeight="1">
      <c r="A112" s="19" t="n"/>
      <c r="B112" s="10" t="inlineStr">
        <is>
          <t>🟢 安全</t>
        </is>
      </c>
      <c r="C112" s="10" t="n">
        <v>16</v>
      </c>
      <c r="D112" s="10" t="inlineStr">
        <is>
          <t>11.4000%</t>
        </is>
      </c>
      <c r="E112" s="10" t="inlineStr">
        <is>
          <t>12.0000%</t>
        </is>
      </c>
      <c r="F112" s="10" t="inlineStr">
        <is>
          <t>0.6000pp</t>
        </is>
      </c>
      <c r="G112" s="13" t="n">
        <v>480</v>
      </c>
      <c r="H112" s="12" t="inlineStr">
        <is>
          <t>安全 300-500 分 (插值)</t>
        </is>
      </c>
      <c r="I112" s="10" t="inlineStr">
        <is>
          <t>2.09pp</t>
        </is>
      </c>
      <c r="J112" s="19" t="n"/>
      <c r="K112" s="19" t="n"/>
    </row>
    <row r="113" ht="16.5" customHeight="1">
      <c r="A113" s="24" t="n"/>
      <c r="B113" s="10" t="inlineStr">
        <is>
          <t>🟢🟢 满分</t>
        </is>
      </c>
      <c r="C113" s="10" t="n">
        <v>17</v>
      </c>
      <c r="D113" s="10" t="inlineStr">
        <is>
          <t>12.0000%</t>
        </is>
      </c>
      <c r="E113" s="10" t="inlineStr">
        <is>
          <t>12.0000%</t>
        </is>
      </c>
      <c r="F113" s="10" t="inlineStr">
        <is>
          <t>0.0000pp</t>
        </is>
      </c>
      <c r="G113" s="23" t="n">
        <v>500</v>
      </c>
      <c r="H113" s="12" t="inlineStr">
        <is>
          <t>⭐适度最优 500 分</t>
        </is>
      </c>
      <c r="I113" s="10" t="inlineStr">
        <is>
          <t>2.39pp</t>
        </is>
      </c>
      <c r="J113" s="24" t="n"/>
      <c r="K113" s="24" t="n"/>
    </row>
    <row r="114" ht="16.5" customHeight="1">
      <c r="A114" s="17" t="inlineStr">
        <is>
          <t>IBL</t>
        </is>
      </c>
      <c r="B114" s="10" t="inlineStr">
        <is>
          <t>🔴 不达标</t>
        </is>
      </c>
      <c r="C114" s="10" t="n">
        <v>1</v>
      </c>
      <c r="D114" s="10" t="inlineStr">
        <is>
          <t>33.33%</t>
        </is>
      </c>
      <c r="E114" s="10" t="inlineStr">
        <is>
          <t>999.00%</t>
        </is>
      </c>
      <c r="F114" s="10" t="inlineStr">
        <is>
          <t>965.67pp</t>
        </is>
      </c>
      <c r="G114" s="18" t="n">
        <v>0</v>
      </c>
      <c r="H114" s="12" t="inlineStr">
        <is>
          <t>不达标 (≥红线)</t>
        </is>
      </c>
      <c r="I114" s="10" t="inlineStr">
        <is>
          <t>494.56pp</t>
        </is>
      </c>
      <c r="J114" s="17" t="inlineStr">
        <is>
          <t>越低越好</t>
        </is>
      </c>
      <c r="K114" s="17" t="inlineStr">
        <is>
          <t>&gt; 33.33% (监管, 负债端)</t>
        </is>
      </c>
    </row>
    <row r="115" ht="16.5" customHeight="1">
      <c r="A115" s="19" t="n"/>
      <c r="B115" s="10" t="inlineStr">
        <is>
          <t>🟠 危险</t>
        </is>
      </c>
      <c r="C115" s="10" t="n">
        <v>2</v>
      </c>
      <c r="D115" s="10" t="inlineStr">
        <is>
          <t>30.0000%</t>
        </is>
      </c>
      <c r="E115" s="10" t="inlineStr">
        <is>
          <t>30.6660%</t>
        </is>
      </c>
      <c r="F115" s="10" t="inlineStr">
        <is>
          <t>0.6660pp</t>
        </is>
      </c>
      <c r="G115" s="20" t="n">
        <v>135</v>
      </c>
      <c r="H115" s="12" t="inlineStr">
        <is>
          <t>危险 0-150 分 (插值)</t>
        </is>
      </c>
      <c r="I115" s="10" t="inlineStr">
        <is>
          <t>8.73pp</t>
        </is>
      </c>
      <c r="J115" s="19" t="n"/>
      <c r="K115" s="19" t="n"/>
    </row>
    <row r="116" ht="16.5" customHeight="1">
      <c r="A116" s="19" t="n"/>
      <c r="B116" s="10" t="inlineStr">
        <is>
          <t>🟠 危险</t>
        </is>
      </c>
      <c r="C116" s="10" t="n">
        <v>3</v>
      </c>
      <c r="D116" s="10" t="inlineStr">
        <is>
          <t>30.6660%</t>
        </is>
      </c>
      <c r="E116" s="10" t="inlineStr">
        <is>
          <t>31.3320%</t>
        </is>
      </c>
      <c r="F116" s="10" t="inlineStr">
        <is>
          <t>0.6660pp</t>
        </is>
      </c>
      <c r="G116" s="20" t="n">
        <v>105</v>
      </c>
      <c r="H116" s="12" t="inlineStr">
        <is>
          <t>危险 0-150 分 (插值)</t>
        </is>
      </c>
      <c r="I116" s="10" t="inlineStr">
        <is>
          <t>9.40pp</t>
        </is>
      </c>
      <c r="J116" s="19" t="n"/>
      <c r="K116" s="19" t="n"/>
    </row>
    <row r="117" ht="16.5" customHeight="1">
      <c r="A117" s="19" t="n"/>
      <c r="B117" s="10" t="inlineStr">
        <is>
          <t>🟠 危险</t>
        </is>
      </c>
      <c r="C117" s="10" t="n">
        <v>4</v>
      </c>
      <c r="D117" s="10" t="inlineStr">
        <is>
          <t>31.3320%</t>
        </is>
      </c>
      <c r="E117" s="10" t="inlineStr">
        <is>
          <t>31.9980%</t>
        </is>
      </c>
      <c r="F117" s="10" t="inlineStr">
        <is>
          <t>0.6660pp</t>
        </is>
      </c>
      <c r="G117" s="20" t="n">
        <v>75</v>
      </c>
      <c r="H117" s="12" t="inlineStr">
        <is>
          <t>危险 0-150 分 (插值)</t>
        </is>
      </c>
      <c r="I117" s="10" t="inlineStr">
        <is>
          <t>10.06pp</t>
        </is>
      </c>
      <c r="J117" s="19" t="n"/>
      <c r="K117" s="19" t="n"/>
    </row>
    <row r="118" ht="16.5" customHeight="1">
      <c r="A118" s="19" t="n"/>
      <c r="B118" s="10" t="inlineStr">
        <is>
          <t>🟠 危险</t>
        </is>
      </c>
      <c r="C118" s="10" t="n">
        <v>5</v>
      </c>
      <c r="D118" s="10" t="inlineStr">
        <is>
          <t>31.9980%</t>
        </is>
      </c>
      <c r="E118" s="10" t="inlineStr">
        <is>
          <t>32.6640%</t>
        </is>
      </c>
      <c r="F118" s="10" t="inlineStr">
        <is>
          <t>0.6660pp</t>
        </is>
      </c>
      <c r="G118" s="20" t="n">
        <v>45</v>
      </c>
      <c r="H118" s="12" t="inlineStr">
        <is>
          <t>危险 0-150 分 (插值)</t>
        </is>
      </c>
      <c r="I118" s="10" t="inlineStr">
        <is>
          <t>10.73pp</t>
        </is>
      </c>
      <c r="J118" s="19" t="n"/>
      <c r="K118" s="19" t="n"/>
    </row>
    <row r="119" ht="16.5" customHeight="1">
      <c r="A119" s="19" t="n"/>
      <c r="B119" s="10" t="inlineStr">
        <is>
          <t>🟠 危险</t>
        </is>
      </c>
      <c r="C119" s="10" t="n">
        <v>6</v>
      </c>
      <c r="D119" s="10" t="inlineStr">
        <is>
          <t>32.6640%</t>
        </is>
      </c>
      <c r="E119" s="10" t="inlineStr">
        <is>
          <t>33.3300%</t>
        </is>
      </c>
      <c r="F119" s="10" t="inlineStr">
        <is>
          <t>0.6660pp</t>
        </is>
      </c>
      <c r="G119" s="20" t="n">
        <v>15</v>
      </c>
      <c r="H119" s="12" t="inlineStr">
        <is>
          <t>危险 0-150 分 (插值)</t>
        </is>
      </c>
      <c r="I119" s="10" t="inlineStr">
        <is>
          <t>11.40pp</t>
        </is>
      </c>
      <c r="J119" s="19" t="n"/>
      <c r="K119" s="19" t="n"/>
    </row>
    <row r="120" ht="16.5" customHeight="1">
      <c r="A120" s="19" t="n"/>
      <c r="B120" s="10" t="inlineStr">
        <is>
          <t>🟡 预警</t>
        </is>
      </c>
      <c r="C120" s="10" t="n">
        <v>7</v>
      </c>
      <c r="D120" s="10" t="inlineStr">
        <is>
          <t>25.00%</t>
        </is>
      </c>
      <c r="E120" s="10" t="inlineStr">
        <is>
          <t>26.00%</t>
        </is>
      </c>
      <c r="F120" s="10" t="inlineStr">
        <is>
          <t>1.00pp</t>
        </is>
      </c>
      <c r="G120" s="14" t="n">
        <v>285</v>
      </c>
      <c r="H120" s="12" t="inlineStr">
        <is>
          <t>预警 150-300 分 (插值)</t>
        </is>
      </c>
      <c r="I120" s="10" t="inlineStr">
        <is>
          <t>3.90pp</t>
        </is>
      </c>
      <c r="J120" s="19" t="n"/>
      <c r="K120" s="19" t="n"/>
    </row>
    <row r="121" ht="16.5" customHeight="1">
      <c r="A121" s="19" t="n"/>
      <c r="B121" s="10" t="inlineStr">
        <is>
          <t>🟡 预警</t>
        </is>
      </c>
      <c r="C121" s="10" t="n">
        <v>8</v>
      </c>
      <c r="D121" s="10" t="inlineStr">
        <is>
          <t>26.00%</t>
        </is>
      </c>
      <c r="E121" s="10" t="inlineStr">
        <is>
          <t>27.00%</t>
        </is>
      </c>
      <c r="F121" s="10" t="inlineStr">
        <is>
          <t>1.00pp</t>
        </is>
      </c>
      <c r="G121" s="14" t="n">
        <v>255</v>
      </c>
      <c r="H121" s="12" t="inlineStr">
        <is>
          <t>预警 150-300 分 (插值)</t>
        </is>
      </c>
      <c r="I121" s="10" t="inlineStr">
        <is>
          <t>4.90pp</t>
        </is>
      </c>
      <c r="J121" s="19" t="n"/>
      <c r="K121" s="19" t="n"/>
    </row>
    <row r="122" ht="16.5" customHeight="1">
      <c r="A122" s="19" t="n"/>
      <c r="B122" s="10" t="inlineStr">
        <is>
          <t>🟡 预警</t>
        </is>
      </c>
      <c r="C122" s="10" t="n">
        <v>9</v>
      </c>
      <c r="D122" s="10" t="inlineStr">
        <is>
          <t>27.0000%</t>
        </is>
      </c>
      <c r="E122" s="10" t="inlineStr">
        <is>
          <t>28.0000%</t>
        </is>
      </c>
      <c r="F122" s="10" t="inlineStr">
        <is>
          <t>1.0000pp</t>
        </is>
      </c>
      <c r="G122" s="14" t="n">
        <v>225</v>
      </c>
      <c r="H122" s="12" t="inlineStr">
        <is>
          <t>预警 150-300 分 (插值)</t>
        </is>
      </c>
      <c r="I122" s="10" t="inlineStr">
        <is>
          <t>5.90pp</t>
        </is>
      </c>
      <c r="J122" s="19" t="n"/>
      <c r="K122" s="19" t="n"/>
    </row>
    <row r="123" ht="16.5" customHeight="1">
      <c r="A123" s="19" t="n"/>
      <c r="B123" s="10" t="inlineStr">
        <is>
          <t>🟡 预警</t>
        </is>
      </c>
      <c r="C123" s="10" t="n">
        <v>10</v>
      </c>
      <c r="D123" s="10" t="inlineStr">
        <is>
          <t>28.00%</t>
        </is>
      </c>
      <c r="E123" s="10" t="inlineStr">
        <is>
          <t>29.00%</t>
        </is>
      </c>
      <c r="F123" s="10" t="inlineStr">
        <is>
          <t>1.00pp</t>
        </is>
      </c>
      <c r="G123" s="14" t="n">
        <v>195</v>
      </c>
      <c r="H123" s="12" t="inlineStr">
        <is>
          <t>预警 150-300 分 (插值)</t>
        </is>
      </c>
      <c r="I123" s="10" t="inlineStr">
        <is>
          <t>6.90pp</t>
        </is>
      </c>
      <c r="J123" s="19" t="n"/>
      <c r="K123" s="19" t="n"/>
    </row>
    <row r="124" ht="16.5" customHeight="1">
      <c r="A124" s="19" t="n"/>
      <c r="B124" s="10" t="inlineStr">
        <is>
          <t>🟡 预警</t>
        </is>
      </c>
      <c r="C124" s="10" t="n">
        <v>11</v>
      </c>
      <c r="D124" s="10" t="inlineStr">
        <is>
          <t>29.00%</t>
        </is>
      </c>
      <c r="E124" s="10" t="inlineStr">
        <is>
          <t>30.00%</t>
        </is>
      </c>
      <c r="F124" s="10" t="inlineStr">
        <is>
          <t>1.00pp</t>
        </is>
      </c>
      <c r="G124" s="14" t="n">
        <v>165</v>
      </c>
      <c r="H124" s="12" t="inlineStr">
        <is>
          <t>预警 150-300 分 (插值)</t>
        </is>
      </c>
      <c r="I124" s="10" t="inlineStr">
        <is>
          <t>7.90pp</t>
        </is>
      </c>
      <c r="J124" s="19" t="n"/>
      <c r="K124" s="19" t="n"/>
    </row>
    <row r="125" ht="16.5" customHeight="1">
      <c r="A125" s="19" t="n"/>
      <c r="B125" s="10" t="inlineStr">
        <is>
          <t>🟢 安全</t>
        </is>
      </c>
      <c r="C125" s="10" t="n">
        <v>12</v>
      </c>
      <c r="D125" s="10" t="inlineStr">
        <is>
          <t>20.00%</t>
        </is>
      </c>
      <c r="E125" s="10" t="inlineStr">
        <is>
          <t>21.00%</t>
        </is>
      </c>
      <c r="F125" s="10" t="inlineStr">
        <is>
          <t>1.00pp</t>
        </is>
      </c>
      <c r="G125" s="13" t="n">
        <v>480</v>
      </c>
      <c r="H125" s="12" t="inlineStr">
        <is>
          <t>安全 300-500 分 (插值)</t>
        </is>
      </c>
      <c r="I125" s="10" t="inlineStr">
        <is>
          <t>1.10pp</t>
        </is>
      </c>
      <c r="J125" s="19" t="n"/>
      <c r="K125" s="19" t="n"/>
    </row>
    <row r="126" ht="16.5" customHeight="1">
      <c r="A126" s="19" t="n"/>
      <c r="B126" s="10" t="inlineStr">
        <is>
          <t>🟢 安全</t>
        </is>
      </c>
      <c r="C126" s="21" t="n">
        <v>13</v>
      </c>
      <c r="D126" s="10" t="inlineStr">
        <is>
          <t>21.0000%</t>
        </is>
      </c>
      <c r="E126" s="10" t="inlineStr">
        <is>
          <t>22.0000%</t>
        </is>
      </c>
      <c r="F126" s="10" t="inlineStr">
        <is>
          <t>1.0000pp</t>
        </is>
      </c>
      <c r="G126" s="13" t="n">
        <v>440</v>
      </c>
      <c r="H126" s="22" t="inlineStr">
        <is>
          <t>安全 300-500 分 (插值)</t>
        </is>
      </c>
      <c r="I126" s="10" t="inlineStr">
        <is>
          <t>0.10pp</t>
        </is>
      </c>
      <c r="J126" s="19" t="n"/>
      <c r="K126" s="19" t="n"/>
    </row>
    <row r="127" ht="16.5" customHeight="1">
      <c r="A127" s="19" t="n"/>
      <c r="B127" s="10" t="inlineStr">
        <is>
          <t>🟢 安全</t>
        </is>
      </c>
      <c r="C127" s="10" t="n">
        <v>14</v>
      </c>
      <c r="D127" s="10" t="inlineStr">
        <is>
          <t>22.00%</t>
        </is>
      </c>
      <c r="E127" s="10" t="inlineStr">
        <is>
          <t>23.00%</t>
        </is>
      </c>
      <c r="F127" s="10" t="inlineStr">
        <is>
          <t>1.00pp</t>
        </is>
      </c>
      <c r="G127" s="13" t="n">
        <v>400</v>
      </c>
      <c r="H127" s="12" t="inlineStr">
        <is>
          <t>安全 300-500 分 (插值)</t>
        </is>
      </c>
      <c r="I127" s="10" t="inlineStr">
        <is>
          <t>0.90pp</t>
        </is>
      </c>
      <c r="J127" s="19" t="n"/>
      <c r="K127" s="19" t="n"/>
    </row>
    <row r="128" ht="16.5" customHeight="1">
      <c r="A128" s="19" t="n"/>
      <c r="B128" s="10" t="inlineStr">
        <is>
          <t>🟢 安全</t>
        </is>
      </c>
      <c r="C128" s="10" t="n">
        <v>15</v>
      </c>
      <c r="D128" s="10" t="inlineStr">
        <is>
          <t>23.0000%</t>
        </is>
      </c>
      <c r="E128" s="10" t="inlineStr">
        <is>
          <t>24.0000%</t>
        </is>
      </c>
      <c r="F128" s="10" t="inlineStr">
        <is>
          <t>1.0000pp</t>
        </is>
      </c>
      <c r="G128" s="13" t="n">
        <v>360</v>
      </c>
      <c r="H128" s="12" t="inlineStr">
        <is>
          <t>安全 300-500 分 (插值)</t>
        </is>
      </c>
      <c r="I128" s="10" t="inlineStr">
        <is>
          <t>1.90pp</t>
        </is>
      </c>
      <c r="J128" s="19" t="n"/>
      <c r="K128" s="19" t="n"/>
    </row>
    <row r="129" ht="16.5" customHeight="1">
      <c r="A129" s="19" t="n"/>
      <c r="B129" s="10" t="inlineStr">
        <is>
          <t>🟢 安全</t>
        </is>
      </c>
      <c r="C129" s="10" t="n">
        <v>16</v>
      </c>
      <c r="D129" s="10" t="inlineStr">
        <is>
          <t>24.00%</t>
        </is>
      </c>
      <c r="E129" s="10" t="inlineStr">
        <is>
          <t>25.00%</t>
        </is>
      </c>
      <c r="F129" s="10" t="inlineStr">
        <is>
          <t>1.00pp</t>
        </is>
      </c>
      <c r="G129" s="13" t="n">
        <v>320</v>
      </c>
      <c r="H129" s="12" t="inlineStr">
        <is>
          <t>安全 300-500 分 (插值)</t>
        </is>
      </c>
      <c r="I129" s="10" t="inlineStr">
        <is>
          <t>2.90pp</t>
        </is>
      </c>
      <c r="J129" s="19" t="n"/>
      <c r="K129" s="19" t="n"/>
    </row>
    <row r="130" ht="16.5" customHeight="1">
      <c r="A130" s="19" t="n"/>
      <c r="B130" s="10" t="inlineStr">
        <is>
          <t>🟢🟢 满分</t>
        </is>
      </c>
      <c r="C130" s="10" t="n">
        <v>17</v>
      </c>
      <c r="D130" s="10" t="inlineStr">
        <is>
          <t>20.0000%</t>
        </is>
      </c>
      <c r="E130" s="10" t="inlineStr">
        <is>
          <t>20.0000%</t>
        </is>
      </c>
      <c r="F130" s="10" t="inlineStr">
        <is>
          <t>0.0000pp</t>
        </is>
      </c>
      <c r="G130" s="23" t="n">
        <v>500</v>
      </c>
      <c r="H130" s="12" t="inlineStr">
        <is>
          <t>⭐适度最优 500 分</t>
        </is>
      </c>
      <c r="I130" s="10" t="inlineStr">
        <is>
          <t>1.60pp</t>
        </is>
      </c>
      <c r="J130" s="19" t="n"/>
      <c r="K130" s="19" t="n"/>
    </row>
    <row r="131" ht="16.5" customHeight="1">
      <c r="A131" s="19" t="n"/>
      <c r="B131" s="10" t="inlineStr">
        <is>
          <t>🟢 安全</t>
        </is>
      </c>
      <c r="C131" s="10" t="n">
        <v>18</v>
      </c>
      <c r="D131" s="10" t="inlineStr">
        <is>
          <t>5.00%</t>
        </is>
      </c>
      <c r="E131" s="10" t="inlineStr">
        <is>
          <t>8.00%</t>
        </is>
      </c>
      <c r="F131" s="10" t="inlineStr">
        <is>
          <t>3.00pp</t>
        </is>
      </c>
      <c r="G131" s="13" t="n">
        <v>320</v>
      </c>
      <c r="H131" s="12" t="inlineStr">
        <is>
          <t>过优 500→减分 (插值)</t>
        </is>
      </c>
      <c r="I131" s="10" t="inlineStr">
        <is>
          <t>15.10pp</t>
        </is>
      </c>
      <c r="J131" s="19" t="n"/>
      <c r="K131" s="19" t="n"/>
    </row>
    <row r="132" ht="16.5" customHeight="1">
      <c r="A132" s="19" t="n"/>
      <c r="B132" s="10" t="inlineStr">
        <is>
          <t>🟢 安全</t>
        </is>
      </c>
      <c r="C132" s="10" t="n">
        <v>19</v>
      </c>
      <c r="D132" s="10" t="inlineStr">
        <is>
          <t>8.00%</t>
        </is>
      </c>
      <c r="E132" s="10" t="inlineStr">
        <is>
          <t>11.00%</t>
        </is>
      </c>
      <c r="F132" s="10" t="inlineStr">
        <is>
          <t>3.00pp</t>
        </is>
      </c>
      <c r="G132" s="13" t="n">
        <v>360</v>
      </c>
      <c r="H132" s="12" t="inlineStr">
        <is>
          <t>过优 500→减分 (插值)</t>
        </is>
      </c>
      <c r="I132" s="10" t="inlineStr">
        <is>
          <t>12.10pp</t>
        </is>
      </c>
      <c r="J132" s="19" t="n"/>
      <c r="K132" s="19" t="n"/>
    </row>
    <row r="133" ht="16.5" customHeight="1">
      <c r="A133" s="19" t="n"/>
      <c r="B133" s="10" t="inlineStr">
        <is>
          <t>🟢 安全</t>
        </is>
      </c>
      <c r="C133" s="10" t="n">
        <v>20</v>
      </c>
      <c r="D133" s="10" t="inlineStr">
        <is>
          <t>11.00%</t>
        </is>
      </c>
      <c r="E133" s="10" t="inlineStr">
        <is>
          <t>14.00%</t>
        </is>
      </c>
      <c r="F133" s="10" t="inlineStr">
        <is>
          <t>3.00pp</t>
        </is>
      </c>
      <c r="G133" s="13" t="n">
        <v>400</v>
      </c>
      <c r="H133" s="12" t="inlineStr">
        <is>
          <t>过优 500→减分 (插值)</t>
        </is>
      </c>
      <c r="I133" s="10" t="inlineStr">
        <is>
          <t>9.10pp</t>
        </is>
      </c>
      <c r="J133" s="19" t="n"/>
      <c r="K133" s="19" t="n"/>
    </row>
    <row r="134" ht="16.5" customHeight="1">
      <c r="A134" s="19" t="n"/>
      <c r="B134" s="10" t="inlineStr">
        <is>
          <t>🟢 安全</t>
        </is>
      </c>
      <c r="C134" s="10" t="n">
        <v>21</v>
      </c>
      <c r="D134" s="10" t="inlineStr">
        <is>
          <t>14.00%</t>
        </is>
      </c>
      <c r="E134" s="10" t="inlineStr">
        <is>
          <t>17.00%</t>
        </is>
      </c>
      <c r="F134" s="10" t="inlineStr">
        <is>
          <t>3.00pp</t>
        </is>
      </c>
      <c r="G134" s="13" t="n">
        <v>440</v>
      </c>
      <c r="H134" s="12" t="inlineStr">
        <is>
          <t>过优 500→减分 (插值)</t>
        </is>
      </c>
      <c r="I134" s="10" t="inlineStr">
        <is>
          <t>6.10pp</t>
        </is>
      </c>
      <c r="J134" s="19" t="n"/>
      <c r="K134" s="19" t="n"/>
    </row>
    <row r="135" ht="16.5" customHeight="1">
      <c r="A135" s="19" t="n"/>
      <c r="B135" s="10" t="inlineStr">
        <is>
          <t>🟢 安全</t>
        </is>
      </c>
      <c r="C135" s="10" t="n">
        <v>22</v>
      </c>
      <c r="D135" s="10" t="inlineStr">
        <is>
          <t>17.00%</t>
        </is>
      </c>
      <c r="E135" s="10" t="inlineStr">
        <is>
          <t>20.00%</t>
        </is>
      </c>
      <c r="F135" s="10" t="inlineStr">
        <is>
          <t>3.00pp</t>
        </is>
      </c>
      <c r="G135" s="13" t="n">
        <v>480</v>
      </c>
      <c r="H135" s="12" t="inlineStr">
        <is>
          <t>过优 500→减分 (插值)</t>
        </is>
      </c>
      <c r="I135" s="10" t="inlineStr">
        <is>
          <t>3.10pp</t>
        </is>
      </c>
      <c r="J135" s="19" t="n"/>
      <c r="K135" s="19" t="n"/>
    </row>
    <row r="136" ht="16.5" customHeight="1">
      <c r="A136" s="24" t="n"/>
      <c r="B136" s="10" t="inlineStr">
        <is>
          <t>🟢 安全</t>
        </is>
      </c>
      <c r="C136" s="10" t="n">
        <v>23</v>
      </c>
      <c r="D136" s="10" t="inlineStr">
        <is>
          <t>0.00%</t>
        </is>
      </c>
      <c r="E136" s="10" t="inlineStr">
        <is>
          <t>5.00%</t>
        </is>
      </c>
      <c r="F136" s="10" t="inlineStr">
        <is>
          <t>5.00pp</t>
        </is>
      </c>
      <c r="G136" s="13" t="n">
        <v>380</v>
      </c>
      <c r="H136" s="12" t="inlineStr">
        <is>
          <t>极度过剩 380 分</t>
        </is>
      </c>
      <c r="I136" s="10" t="inlineStr">
        <is>
          <t>19.10pp</t>
        </is>
      </c>
      <c r="J136" s="24" t="n"/>
      <c r="K136" s="24" t="n"/>
    </row>
    <row r="137" ht="16.5" customHeight="1">
      <c r="A137" s="17" t="inlineStr">
        <is>
          <t>LR</t>
        </is>
      </c>
      <c r="B137" s="10" t="inlineStr">
        <is>
          <t>🔴 不达标</t>
        </is>
      </c>
      <c r="C137" s="10" t="n">
        <v>1</v>
      </c>
      <c r="D137" s="10" t="inlineStr">
        <is>
          <t>0.00%</t>
        </is>
      </c>
      <c r="E137" s="10" t="inlineStr">
        <is>
          <t>4.00%</t>
        </is>
      </c>
      <c r="F137" s="10" t="inlineStr">
        <is>
          <t>4.00pp</t>
        </is>
      </c>
      <c r="G137" s="18" t="n">
        <v>0</v>
      </c>
      <c r="H137" s="12" t="inlineStr">
        <is>
          <t>不达标 (≤红线)</t>
        </is>
      </c>
      <c r="I137" s="10" t="inlineStr">
        <is>
          <t>5.06pp</t>
        </is>
      </c>
      <c r="J137" s="17" t="inlineStr">
        <is>
          <t>越高越好</t>
        </is>
      </c>
      <c r="K137" s="17" t="inlineStr">
        <is>
          <t>&lt; 4% (银保监, 巴塞尔 III ≥ 3%)</t>
        </is>
      </c>
    </row>
    <row r="138" ht="16.5" customHeight="1">
      <c r="A138" s="19" t="n"/>
      <c r="B138" s="10" t="inlineStr">
        <is>
          <t>🟠 危险</t>
        </is>
      </c>
      <c r="C138" s="10" t="n">
        <v>2</v>
      </c>
      <c r="D138" s="10" t="inlineStr">
        <is>
          <t>4.0000%</t>
        </is>
      </c>
      <c r="E138" s="10" t="inlineStr">
        <is>
          <t>4.1000%</t>
        </is>
      </c>
      <c r="F138" s="10" t="inlineStr">
        <is>
          <t>0.1000pp</t>
        </is>
      </c>
      <c r="G138" s="20" t="n">
        <v>15</v>
      </c>
      <c r="H138" s="12" t="inlineStr">
        <is>
          <t>危险 0-150 分 (插值)</t>
        </is>
      </c>
      <c r="I138" s="10" t="inlineStr">
        <is>
          <t>3.01pp</t>
        </is>
      </c>
      <c r="J138" s="19" t="n"/>
      <c r="K138" s="19" t="n"/>
    </row>
    <row r="139" ht="16.5" customHeight="1">
      <c r="A139" s="19" t="n"/>
      <c r="B139" s="10" t="inlineStr">
        <is>
          <t>🟠 危险</t>
        </is>
      </c>
      <c r="C139" s="10" t="n">
        <v>3</v>
      </c>
      <c r="D139" s="10" t="inlineStr">
        <is>
          <t>4.1000%</t>
        </is>
      </c>
      <c r="E139" s="10" t="inlineStr">
        <is>
          <t>4.2000%</t>
        </is>
      </c>
      <c r="F139" s="10" t="inlineStr">
        <is>
          <t>0.1000pp</t>
        </is>
      </c>
      <c r="G139" s="20" t="n">
        <v>45</v>
      </c>
      <c r="H139" s="12" t="inlineStr">
        <is>
          <t>危险 0-150 分 (插值)</t>
        </is>
      </c>
      <c r="I139" s="10" t="inlineStr">
        <is>
          <t>2.91pp</t>
        </is>
      </c>
      <c r="J139" s="19" t="n"/>
      <c r="K139" s="19" t="n"/>
    </row>
    <row r="140" ht="16.5" customHeight="1">
      <c r="A140" s="19" t="n"/>
      <c r="B140" s="10" t="inlineStr">
        <is>
          <t>🟠 危险</t>
        </is>
      </c>
      <c r="C140" s="10" t="n">
        <v>4</v>
      </c>
      <c r="D140" s="10" t="inlineStr">
        <is>
          <t>4.2000%</t>
        </is>
      </c>
      <c r="E140" s="10" t="inlineStr">
        <is>
          <t>4.3000%</t>
        </is>
      </c>
      <c r="F140" s="10" t="inlineStr">
        <is>
          <t>0.1000pp</t>
        </is>
      </c>
      <c r="G140" s="20" t="n">
        <v>75</v>
      </c>
      <c r="H140" s="12" t="inlineStr">
        <is>
          <t>危险 0-150 分 (插值)</t>
        </is>
      </c>
      <c r="I140" s="10" t="inlineStr">
        <is>
          <t>2.81pp</t>
        </is>
      </c>
      <c r="J140" s="19" t="n"/>
      <c r="K140" s="19" t="n"/>
    </row>
    <row r="141" ht="16.5" customHeight="1">
      <c r="A141" s="19" t="n"/>
      <c r="B141" s="10" t="inlineStr">
        <is>
          <t>🟠 危险</t>
        </is>
      </c>
      <c r="C141" s="10" t="n">
        <v>5</v>
      </c>
      <c r="D141" s="10" t="inlineStr">
        <is>
          <t>4.3000%</t>
        </is>
      </c>
      <c r="E141" s="10" t="inlineStr">
        <is>
          <t>4.4000%</t>
        </is>
      </c>
      <c r="F141" s="10" t="inlineStr">
        <is>
          <t>0.1000pp</t>
        </is>
      </c>
      <c r="G141" s="20" t="n">
        <v>105</v>
      </c>
      <c r="H141" s="12" t="inlineStr">
        <is>
          <t>危险 0-150 分 (插值)</t>
        </is>
      </c>
      <c r="I141" s="10" t="inlineStr">
        <is>
          <t>2.71pp</t>
        </is>
      </c>
      <c r="J141" s="19" t="n"/>
      <c r="K141" s="19" t="n"/>
    </row>
    <row r="142" ht="16.5" customHeight="1">
      <c r="A142" s="19" t="n"/>
      <c r="B142" s="10" t="inlineStr">
        <is>
          <t>🟠 危险</t>
        </is>
      </c>
      <c r="C142" s="10" t="n">
        <v>6</v>
      </c>
      <c r="D142" s="10" t="inlineStr">
        <is>
          <t>4.4000%</t>
        </is>
      </c>
      <c r="E142" s="10" t="inlineStr">
        <is>
          <t>4.5000%</t>
        </is>
      </c>
      <c r="F142" s="10" t="inlineStr">
        <is>
          <t>0.1000pp</t>
        </is>
      </c>
      <c r="G142" s="20" t="n">
        <v>135</v>
      </c>
      <c r="H142" s="12" t="inlineStr">
        <is>
          <t>危险 0-150 分 (插值)</t>
        </is>
      </c>
      <c r="I142" s="10" t="inlineStr">
        <is>
          <t>2.61pp</t>
        </is>
      </c>
      <c r="J142" s="19" t="n"/>
      <c r="K142" s="19" t="n"/>
    </row>
    <row r="143" ht="16.5" customHeight="1">
      <c r="A143" s="19" t="n"/>
      <c r="B143" s="10" t="inlineStr">
        <is>
          <t>🟡 预警</t>
        </is>
      </c>
      <c r="C143" s="10" t="n">
        <v>7</v>
      </c>
      <c r="D143" s="10" t="inlineStr">
        <is>
          <t>4.5000%</t>
        </is>
      </c>
      <c r="E143" s="10" t="inlineStr">
        <is>
          <t>4.8000%</t>
        </is>
      </c>
      <c r="F143" s="10" t="inlineStr">
        <is>
          <t>0.3000pp</t>
        </is>
      </c>
      <c r="G143" s="14" t="n">
        <v>165</v>
      </c>
      <c r="H143" s="12" t="inlineStr">
        <is>
          <t>预警 150-300 分 (插值)</t>
        </is>
      </c>
      <c r="I143" s="10" t="inlineStr">
        <is>
          <t>2.41pp</t>
        </is>
      </c>
      <c r="J143" s="19" t="n"/>
      <c r="K143" s="19" t="n"/>
    </row>
    <row r="144" ht="16.5" customHeight="1">
      <c r="A144" s="19" t="n"/>
      <c r="B144" s="10" t="inlineStr">
        <is>
          <t>🟡 预警</t>
        </is>
      </c>
      <c r="C144" s="10" t="n">
        <v>8</v>
      </c>
      <c r="D144" s="10" t="inlineStr">
        <is>
          <t>4.8000%</t>
        </is>
      </c>
      <c r="E144" s="10" t="inlineStr">
        <is>
          <t>5.1000%</t>
        </is>
      </c>
      <c r="F144" s="10" t="inlineStr">
        <is>
          <t>0.3000pp</t>
        </is>
      </c>
      <c r="G144" s="14" t="n">
        <v>195</v>
      </c>
      <c r="H144" s="12" t="inlineStr">
        <is>
          <t>预警 150-300 分 (插值)</t>
        </is>
      </c>
      <c r="I144" s="10" t="inlineStr">
        <is>
          <t>2.11pp</t>
        </is>
      </c>
      <c r="J144" s="19" t="n"/>
      <c r="K144" s="19" t="n"/>
    </row>
    <row r="145" ht="16.5" customHeight="1">
      <c r="A145" s="19" t="n"/>
      <c r="B145" s="10" t="inlineStr">
        <is>
          <t>🟡 预警</t>
        </is>
      </c>
      <c r="C145" s="10" t="n">
        <v>9</v>
      </c>
      <c r="D145" s="10" t="inlineStr">
        <is>
          <t>5.1000%</t>
        </is>
      </c>
      <c r="E145" s="10" t="inlineStr">
        <is>
          <t>5.4000%</t>
        </is>
      </c>
      <c r="F145" s="10" t="inlineStr">
        <is>
          <t>0.3000pp</t>
        </is>
      </c>
      <c r="G145" s="14" t="n">
        <v>225</v>
      </c>
      <c r="H145" s="12" t="inlineStr">
        <is>
          <t>预警 150-300 分 (插值)</t>
        </is>
      </c>
      <c r="I145" s="10" t="inlineStr">
        <is>
          <t>1.81pp</t>
        </is>
      </c>
      <c r="J145" s="19" t="n"/>
      <c r="K145" s="19" t="n"/>
    </row>
    <row r="146" ht="16.5" customHeight="1">
      <c r="A146" s="19" t="n"/>
      <c r="B146" s="10" t="inlineStr">
        <is>
          <t>🟡 预警</t>
        </is>
      </c>
      <c r="C146" s="10" t="n">
        <v>10</v>
      </c>
      <c r="D146" s="10" t="inlineStr">
        <is>
          <t>5.4000%</t>
        </is>
      </c>
      <c r="E146" s="10" t="inlineStr">
        <is>
          <t>5.7000%</t>
        </is>
      </c>
      <c r="F146" s="10" t="inlineStr">
        <is>
          <t>0.3000pp</t>
        </is>
      </c>
      <c r="G146" s="14" t="n">
        <v>255</v>
      </c>
      <c r="H146" s="12" t="inlineStr">
        <is>
          <t>预警 150-300 分 (插值)</t>
        </is>
      </c>
      <c r="I146" s="10" t="inlineStr">
        <is>
          <t>1.51pp</t>
        </is>
      </c>
      <c r="J146" s="19" t="n"/>
      <c r="K146" s="19" t="n"/>
    </row>
    <row r="147" ht="16.5" customHeight="1">
      <c r="A147" s="19" t="n"/>
      <c r="B147" s="10" t="inlineStr">
        <is>
          <t>🟡 预警</t>
        </is>
      </c>
      <c r="C147" s="10" t="n">
        <v>11</v>
      </c>
      <c r="D147" s="10" t="inlineStr">
        <is>
          <t>5.7000%</t>
        </is>
      </c>
      <c r="E147" s="10" t="inlineStr">
        <is>
          <t>6.0000%</t>
        </is>
      </c>
      <c r="F147" s="10" t="inlineStr">
        <is>
          <t>0.3000pp</t>
        </is>
      </c>
      <c r="G147" s="14" t="n">
        <v>285</v>
      </c>
      <c r="H147" s="12" t="inlineStr">
        <is>
          <t>预警 150-300 分 (插值)</t>
        </is>
      </c>
      <c r="I147" s="10" t="inlineStr">
        <is>
          <t>1.21pp</t>
        </is>
      </c>
      <c r="J147" s="19" t="n"/>
      <c r="K147" s="19" t="n"/>
    </row>
    <row r="148" ht="16.5" customHeight="1">
      <c r="A148" s="19" t="n"/>
      <c r="B148" s="10" t="inlineStr">
        <is>
          <t>🟢 安全</t>
        </is>
      </c>
      <c r="C148" s="10" t="n">
        <v>12</v>
      </c>
      <c r="D148" s="10" t="inlineStr">
        <is>
          <t>6.0000%</t>
        </is>
      </c>
      <c r="E148" s="10" t="inlineStr">
        <is>
          <t>6.4000%</t>
        </is>
      </c>
      <c r="F148" s="10" t="inlineStr">
        <is>
          <t>0.4000pp</t>
        </is>
      </c>
      <c r="G148" s="13" t="n">
        <v>320</v>
      </c>
      <c r="H148" s="12" t="inlineStr">
        <is>
          <t>安全 300-500 分 (插值)</t>
        </is>
      </c>
      <c r="I148" s="10" t="inlineStr">
        <is>
          <t>0.86pp</t>
        </is>
      </c>
      <c r="J148" s="19" t="n"/>
      <c r="K148" s="19" t="n"/>
    </row>
    <row r="149" ht="16.5" customHeight="1">
      <c r="A149" s="19" t="n"/>
      <c r="B149" s="10" t="inlineStr">
        <is>
          <t>🟢 安全</t>
        </is>
      </c>
      <c r="C149" s="10" t="n">
        <v>13</v>
      </c>
      <c r="D149" s="10" t="inlineStr">
        <is>
          <t>6.4000%</t>
        </is>
      </c>
      <c r="E149" s="10" t="inlineStr">
        <is>
          <t>6.8000%</t>
        </is>
      </c>
      <c r="F149" s="10" t="inlineStr">
        <is>
          <t>0.4000pp</t>
        </is>
      </c>
      <c r="G149" s="13" t="n">
        <v>360</v>
      </c>
      <c r="H149" s="12" t="inlineStr">
        <is>
          <t>安全 300-500 分 (插值)</t>
        </is>
      </c>
      <c r="I149" s="10" t="inlineStr">
        <is>
          <t>0.46pp</t>
        </is>
      </c>
      <c r="J149" s="19" t="n"/>
      <c r="K149" s="19" t="n"/>
    </row>
    <row r="150" ht="16.5" customHeight="1">
      <c r="A150" s="19" t="n"/>
      <c r="B150" s="10" t="inlineStr">
        <is>
          <t>🟢 安全</t>
        </is>
      </c>
      <c r="C150" s="21" t="n">
        <v>14</v>
      </c>
      <c r="D150" s="10" t="inlineStr">
        <is>
          <t>6.8000%</t>
        </is>
      </c>
      <c r="E150" s="10" t="inlineStr">
        <is>
          <t>7.2000%</t>
        </is>
      </c>
      <c r="F150" s="10" t="inlineStr">
        <is>
          <t>0.4000pp</t>
        </is>
      </c>
      <c r="G150" s="13" t="n">
        <v>400</v>
      </c>
      <c r="H150" s="22" t="inlineStr">
        <is>
          <t>安全 300-500 分 (插值)</t>
        </is>
      </c>
      <c r="I150" s="10" t="inlineStr">
        <is>
          <t>0.06pp</t>
        </is>
      </c>
      <c r="J150" s="19" t="n"/>
      <c r="K150" s="19" t="n"/>
    </row>
    <row r="151" ht="16.5" customHeight="1">
      <c r="A151" s="19" t="n"/>
      <c r="B151" s="10" t="inlineStr">
        <is>
          <t>🟢 安全</t>
        </is>
      </c>
      <c r="C151" s="10" t="n">
        <v>15</v>
      </c>
      <c r="D151" s="10" t="inlineStr">
        <is>
          <t>7.2000%</t>
        </is>
      </c>
      <c r="E151" s="10" t="inlineStr">
        <is>
          <t>7.6000%</t>
        </is>
      </c>
      <c r="F151" s="10" t="inlineStr">
        <is>
          <t>0.4000pp</t>
        </is>
      </c>
      <c r="G151" s="13" t="n">
        <v>440</v>
      </c>
      <c r="H151" s="12" t="inlineStr">
        <is>
          <t>安全 300-500 分 (插值)</t>
        </is>
      </c>
      <c r="I151" s="10" t="inlineStr">
        <is>
          <t>0.34pp</t>
        </is>
      </c>
      <c r="J151" s="19" t="n"/>
      <c r="K151" s="19" t="n"/>
    </row>
    <row r="152" ht="16.5" customHeight="1">
      <c r="A152" s="19" t="n"/>
      <c r="B152" s="10" t="inlineStr">
        <is>
          <t>🟢 安全</t>
        </is>
      </c>
      <c r="C152" s="10" t="n">
        <v>16</v>
      </c>
      <c r="D152" s="10" t="inlineStr">
        <is>
          <t>7.6000%</t>
        </is>
      </c>
      <c r="E152" s="10" t="inlineStr">
        <is>
          <t>8.0000%</t>
        </is>
      </c>
      <c r="F152" s="10" t="inlineStr">
        <is>
          <t>0.4000pp</t>
        </is>
      </c>
      <c r="G152" s="13" t="n">
        <v>480</v>
      </c>
      <c r="H152" s="12" t="inlineStr">
        <is>
          <t>安全 300-500 分 (插值)</t>
        </is>
      </c>
      <c r="I152" s="10" t="inlineStr">
        <is>
          <t>0.74pp</t>
        </is>
      </c>
      <c r="J152" s="19" t="n"/>
      <c r="K152" s="19" t="n"/>
    </row>
    <row r="153" ht="16.5" customHeight="1">
      <c r="A153" s="19" t="n"/>
      <c r="B153" s="10" t="inlineStr">
        <is>
          <t>🟢🟢 满分</t>
        </is>
      </c>
      <c r="C153" s="10" t="n">
        <v>17</v>
      </c>
      <c r="D153" s="10" t="inlineStr">
        <is>
          <t>8.0000%</t>
        </is>
      </c>
      <c r="E153" s="10" t="inlineStr">
        <is>
          <t>8.0000%</t>
        </is>
      </c>
      <c r="F153" s="10" t="inlineStr">
        <is>
          <t>0.0000pp</t>
        </is>
      </c>
      <c r="G153" s="23" t="n">
        <v>500</v>
      </c>
      <c r="H153" s="12" t="inlineStr">
        <is>
          <t>⭐适度最优 500 分</t>
        </is>
      </c>
      <c r="I153" s="10" t="inlineStr">
        <is>
          <t>0.94pp</t>
        </is>
      </c>
      <c r="J153" s="19" t="n"/>
      <c r="K153" s="19" t="n"/>
    </row>
    <row r="154" ht="16.5" customHeight="1">
      <c r="A154" s="19" t="n"/>
      <c r="B154" s="10" t="inlineStr">
        <is>
          <t>🟢 安全</t>
        </is>
      </c>
      <c r="C154" s="10" t="n">
        <v>18</v>
      </c>
      <c r="D154" s="10" t="inlineStr">
        <is>
          <t>8.0000%</t>
        </is>
      </c>
      <c r="E154" s="10" t="inlineStr">
        <is>
          <t>8.8000%</t>
        </is>
      </c>
      <c r="F154" s="10" t="inlineStr">
        <is>
          <t>0.8000pp</t>
        </is>
      </c>
      <c r="G154" s="13" t="n">
        <v>480</v>
      </c>
      <c r="H154" s="12" t="inlineStr">
        <is>
          <t>过优 500→减分 (插值)</t>
        </is>
      </c>
      <c r="I154" s="10" t="inlineStr">
        <is>
          <t>1.34pp</t>
        </is>
      </c>
      <c r="J154" s="19" t="n"/>
      <c r="K154" s="19" t="n"/>
    </row>
    <row r="155" ht="16.5" customHeight="1">
      <c r="A155" s="19" t="n"/>
      <c r="B155" s="10" t="inlineStr">
        <is>
          <t>🟢 安全</t>
        </is>
      </c>
      <c r="C155" s="10" t="n">
        <v>19</v>
      </c>
      <c r="D155" s="10" t="inlineStr">
        <is>
          <t>8.8000%</t>
        </is>
      </c>
      <c r="E155" s="10" t="inlineStr">
        <is>
          <t>9.6000%</t>
        </is>
      </c>
      <c r="F155" s="10" t="inlineStr">
        <is>
          <t>0.8000pp</t>
        </is>
      </c>
      <c r="G155" s="13" t="n">
        <v>440</v>
      </c>
      <c r="H155" s="12" t="inlineStr">
        <is>
          <t>过优 500→减分 (插值)</t>
        </is>
      </c>
      <c r="I155" s="10" t="inlineStr">
        <is>
          <t>2.14pp</t>
        </is>
      </c>
      <c r="J155" s="19" t="n"/>
      <c r="K155" s="19" t="n"/>
    </row>
    <row r="156" ht="16.5" customHeight="1">
      <c r="A156" s="19" t="n"/>
      <c r="B156" s="10" t="inlineStr">
        <is>
          <t>🟢 安全</t>
        </is>
      </c>
      <c r="C156" s="10" t="n">
        <v>20</v>
      </c>
      <c r="D156" s="10" t="inlineStr">
        <is>
          <t>9.6000%</t>
        </is>
      </c>
      <c r="E156" s="10" t="inlineStr">
        <is>
          <t>10.4000%</t>
        </is>
      </c>
      <c r="F156" s="10" t="inlineStr">
        <is>
          <t>0.8000pp</t>
        </is>
      </c>
      <c r="G156" s="13" t="n">
        <v>400</v>
      </c>
      <c r="H156" s="12" t="inlineStr">
        <is>
          <t>过优 500→减分 (插值)</t>
        </is>
      </c>
      <c r="I156" s="10" t="inlineStr">
        <is>
          <t>2.94pp</t>
        </is>
      </c>
      <c r="J156" s="19" t="n"/>
      <c r="K156" s="19" t="n"/>
    </row>
    <row r="157" ht="16.5" customHeight="1">
      <c r="A157" s="19" t="n"/>
      <c r="B157" s="10" t="inlineStr">
        <is>
          <t>🟢 安全</t>
        </is>
      </c>
      <c r="C157" s="10" t="n">
        <v>21</v>
      </c>
      <c r="D157" s="10" t="inlineStr">
        <is>
          <t>10.4000%</t>
        </is>
      </c>
      <c r="E157" s="10" t="inlineStr">
        <is>
          <t>11.2000%</t>
        </is>
      </c>
      <c r="F157" s="10" t="inlineStr">
        <is>
          <t>0.8000pp</t>
        </is>
      </c>
      <c r="G157" s="13" t="n">
        <v>360</v>
      </c>
      <c r="H157" s="12" t="inlineStr">
        <is>
          <t>过优 500→减分 (插值)</t>
        </is>
      </c>
      <c r="I157" s="10" t="inlineStr">
        <is>
          <t>3.74pp</t>
        </is>
      </c>
      <c r="J157" s="19" t="n"/>
      <c r="K157" s="19" t="n"/>
    </row>
    <row r="158" ht="16.5" customHeight="1">
      <c r="A158" s="19" t="n"/>
      <c r="B158" s="10" t="inlineStr">
        <is>
          <t>🟢 安全</t>
        </is>
      </c>
      <c r="C158" s="10" t="n">
        <v>22</v>
      </c>
      <c r="D158" s="10" t="inlineStr">
        <is>
          <t>11.2000%</t>
        </is>
      </c>
      <c r="E158" s="10" t="inlineStr">
        <is>
          <t>12.0000%</t>
        </is>
      </c>
      <c r="F158" s="10" t="inlineStr">
        <is>
          <t>0.8000pp</t>
        </is>
      </c>
      <c r="G158" s="13" t="n">
        <v>320</v>
      </c>
      <c r="H158" s="12" t="inlineStr">
        <is>
          <t>过优 500→减分 (插值)</t>
        </is>
      </c>
      <c r="I158" s="10" t="inlineStr">
        <is>
          <t>4.54pp</t>
        </is>
      </c>
      <c r="J158" s="19" t="n"/>
      <c r="K158" s="19" t="n"/>
    </row>
    <row r="159" ht="16.5" customHeight="1">
      <c r="A159" s="24" t="n"/>
      <c r="B159" s="10" t="inlineStr">
        <is>
          <t>🟢 安全</t>
        </is>
      </c>
      <c r="C159" s="10" t="n">
        <v>23</v>
      </c>
      <c r="D159" s="10" t="inlineStr">
        <is>
          <t>12.00%</t>
        </is>
      </c>
      <c r="E159" s="10" t="inlineStr">
        <is>
          <t>999.00%</t>
        </is>
      </c>
      <c r="F159" s="10" t="inlineStr">
        <is>
          <t>987.00pp</t>
        </is>
      </c>
      <c r="G159" s="13" t="n">
        <v>300</v>
      </c>
      <c r="H159" s="12" t="inlineStr">
        <is>
          <t>极度过剩 300 分</t>
        </is>
      </c>
      <c r="I159" s="10" t="inlineStr">
        <is>
          <t>498.44pp</t>
        </is>
      </c>
      <c r="J159" s="24" t="n"/>
      <c r="K159" s="24" t="n"/>
    </row>
  </sheetData>
  <mergeCells count="23">
    <mergeCell ref="J97:J113"/>
    <mergeCell ref="J114:J136"/>
    <mergeCell ref="A1:K1"/>
    <mergeCell ref="J5:J27"/>
    <mergeCell ref="K28:K50"/>
    <mergeCell ref="K137:K159"/>
    <mergeCell ref="A28:A50"/>
    <mergeCell ref="J51:J73"/>
    <mergeCell ref="K74:K96"/>
    <mergeCell ref="A51:A73"/>
    <mergeCell ref="K5:K27"/>
    <mergeCell ref="A114:A136"/>
    <mergeCell ref="K114:K136"/>
    <mergeCell ref="A137:A159"/>
    <mergeCell ref="K51:K73"/>
    <mergeCell ref="J28:J50"/>
    <mergeCell ref="A2:K2"/>
    <mergeCell ref="J74:J96"/>
    <mergeCell ref="A97:A113"/>
    <mergeCell ref="A74:A96"/>
    <mergeCell ref="K97:K113"/>
    <mergeCell ref="J137:J159"/>
    <mergeCell ref="A5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activeCell="A1" sqref="A1"/>
      <selection pane="bottomLeft" activeCell="A1" sqref="A1:H1"/>
    </sheetView>
  </sheetViews>
  <sheetFormatPr baseColWidth="8" defaultColWidth="9" defaultRowHeight="14"/>
  <cols>
    <col width="10" customWidth="1" min="1" max="1"/>
    <col width="24" customWidth="1" min="2" max="2"/>
    <col width="14" customWidth="1" min="3" max="3"/>
    <col width="18" customWidth="1" min="4" max="4"/>
    <col width="14" customWidth="1" min="5" max="5"/>
    <col width="10" customWidth="1" min="6" max="6"/>
    <col width="14" customWidth="1" min="7" max="7"/>
    <col width="32" customWidth="1" min="8" max="8"/>
  </cols>
  <sheetData>
    <row r="1" ht="30" customHeight="1">
      <c r="A1" s="1" t="inlineStr">
        <is>
          <t>中信银行 7 指标 0-500 分实测得分 v12</t>
        </is>
      </c>
    </row>
    <row r="2" ht="22" customHeight="1">
      <c r="A2" s="11" t="inlineStr">
        <is>
          <t>LCR 18% + NSFR 14% + EVE 13% + CET1 18% + ROE 13% + IBL 12% + LR 12% = 100% | 0-500 分制 | 监管不达标 = 0 分</t>
        </is>
      </c>
    </row>
    <row r="4" ht="30" customHeight="1">
      <c r="A4" s="9" t="inlineStr">
        <is>
          <t>指标</t>
        </is>
      </c>
      <c r="B4" s="9" t="inlineStr">
        <is>
          <t>红线</t>
        </is>
      </c>
      <c r="C4" s="9" t="inlineStr">
        <is>
          <t>实测值</t>
        </is>
      </c>
      <c r="D4" s="9" t="inlineStr">
        <is>
          <t>档位</t>
        </is>
      </c>
      <c r="E4" s="9" t="inlineStr">
        <is>
          <t>得分(/500)</t>
        </is>
      </c>
      <c r="F4" s="9" t="inlineStr">
        <is>
          <t>权重</t>
        </is>
      </c>
      <c r="G4" s="9" t="inlineStr">
        <is>
          <t>加权(/100)</t>
        </is>
      </c>
      <c r="H4" s="9" t="inlineStr">
        <is>
          <t>说明</t>
        </is>
      </c>
    </row>
    <row r="5" ht="29" customHeight="1">
      <c r="A5" s="10" t="inlineStr">
        <is>
          <t>LCR</t>
        </is>
      </c>
      <c r="B5" s="12" t="inlineStr">
        <is>
          <t>&lt; 120% (本行底线, 监管 100%)</t>
        </is>
      </c>
      <c r="C5" s="10" t="inlineStr">
        <is>
          <t>147.29%</t>
        </is>
      </c>
      <c r="D5" s="10" t="inlineStr">
        <is>
          <t>🟢 安全</t>
        </is>
      </c>
      <c r="E5" s="13" t="n">
        <v>445.8</v>
      </c>
      <c r="F5" s="10" t="inlineStr">
        <is>
          <t>18%</t>
        </is>
      </c>
      <c r="G5" s="10" t="n">
        <v>16.05</v>
      </c>
      <c r="H5" s="12" t="inlineStr">
        <is>
          <t>流动性覆盖率 实测 147.29%</t>
        </is>
      </c>
    </row>
    <row r="6" ht="16.5" customHeight="1">
      <c r="A6" s="10" t="inlineStr">
        <is>
          <t>NSFR</t>
        </is>
      </c>
      <c r="B6" s="12" t="inlineStr">
        <is>
          <t>&lt; 100% (监管)</t>
        </is>
      </c>
      <c r="C6" s="10" t="inlineStr">
        <is>
          <t>104.52%</t>
        </is>
      </c>
      <c r="D6" s="10" t="inlineStr">
        <is>
          <t>🟡 预警</t>
        </is>
      </c>
      <c r="E6" s="14" t="n">
        <v>264</v>
      </c>
      <c r="F6" s="10" t="inlineStr">
        <is>
          <t>14%</t>
        </is>
      </c>
      <c r="G6" s="10" t="n">
        <v>7.39</v>
      </c>
      <c r="H6" s="12" t="inlineStr">
        <is>
          <t>净稳定资金比例 实测 104.52%</t>
        </is>
      </c>
    </row>
    <row r="7" ht="16.5" customHeight="1">
      <c r="A7" s="10" t="inlineStr">
        <is>
          <t>EVE</t>
        </is>
      </c>
      <c r="B7" s="12" t="inlineStr">
        <is>
          <t>&gt; 15% (监管)</t>
        </is>
      </c>
      <c r="C7" s="10" t="inlineStr">
        <is>
          <t>10.54%</t>
        </is>
      </c>
      <c r="D7" s="10" t="inlineStr">
        <is>
          <t>🟡 预警</t>
        </is>
      </c>
      <c r="E7" s="14" t="n">
        <v>259.5</v>
      </c>
      <c r="F7" s="10" t="inlineStr">
        <is>
          <t>13%</t>
        </is>
      </c>
      <c r="G7" s="10" t="n">
        <v>6.75</v>
      </c>
      <c r="H7" s="12" t="inlineStr">
        <is>
          <t>银行账户利率风险 实测 10.54%</t>
        </is>
      </c>
    </row>
    <row r="8" ht="29" customHeight="1">
      <c r="A8" s="10" t="inlineStr">
        <is>
          <t>CET1</t>
        </is>
      </c>
      <c r="B8" s="12" t="inlineStr">
        <is>
          <t>&lt; 8.7% (7.5 监管 + 0.5 附加 + 0.7 本行)</t>
        </is>
      </c>
      <c r="C8" s="10" t="inlineStr">
        <is>
          <t>8.98%</t>
        </is>
      </c>
      <c r="D8" s="10" t="inlineStr">
        <is>
          <t>🟡 预警</t>
        </is>
      </c>
      <c r="E8" s="14" t="n">
        <v>285</v>
      </c>
      <c r="F8" s="10" t="inlineStr">
        <is>
          <t>18%</t>
        </is>
      </c>
      <c r="G8" s="10" t="n">
        <v>10.26</v>
      </c>
      <c r="H8" s="12" t="inlineStr">
        <is>
          <t>核心一级资本充足率 实测 8.98%</t>
        </is>
      </c>
    </row>
    <row r="9" ht="29" customHeight="1">
      <c r="A9" s="10" t="inlineStr">
        <is>
          <t>ROE</t>
        </is>
      </c>
      <c r="B9" s="12" t="inlineStr">
        <is>
          <t>&lt; 6% (硬约束, 非监管但不可接受)</t>
        </is>
      </c>
      <c r="C9" s="10" t="inlineStr">
        <is>
          <t>9.61%</t>
        </is>
      </c>
      <c r="D9" s="10" t="inlineStr">
        <is>
          <t>🟢 安全</t>
        </is>
      </c>
      <c r="E9" s="13" t="n">
        <v>340.67</v>
      </c>
      <c r="F9" s="10" t="inlineStr">
        <is>
          <t>13%</t>
        </is>
      </c>
      <c r="G9" s="10" t="n">
        <v>8.859999999999999</v>
      </c>
      <c r="H9" s="12" t="inlineStr">
        <is>
          <t>净资产收益率 实测 9.61%</t>
        </is>
      </c>
    </row>
    <row r="10" ht="16.5" customHeight="1">
      <c r="A10" s="10" t="inlineStr">
        <is>
          <t>IBL</t>
        </is>
      </c>
      <c r="B10" s="12" t="inlineStr">
        <is>
          <t>&gt; 33.33% (监管, 负债端)</t>
        </is>
      </c>
      <c r="C10" s="10" t="inlineStr">
        <is>
          <t>21.60%</t>
        </is>
      </c>
      <c r="D10" s="10" t="inlineStr">
        <is>
          <t>🟢 安全</t>
        </is>
      </c>
      <c r="E10" s="13" t="n">
        <v>436</v>
      </c>
      <c r="F10" s="10" t="inlineStr">
        <is>
          <t>12%</t>
        </is>
      </c>
      <c r="G10" s="10" t="n">
        <v>10.46</v>
      </c>
      <c r="H10" s="12" t="inlineStr">
        <is>
          <t>同业负债占总负债比例 实测 21.60%</t>
        </is>
      </c>
    </row>
    <row r="11" ht="29" customHeight="1">
      <c r="A11" s="10" t="inlineStr">
        <is>
          <t>LR</t>
        </is>
      </c>
      <c r="B11" s="12" t="inlineStr">
        <is>
          <t>&lt; 4% (银保监, 巴塞尔 III ≥ 3%)</t>
        </is>
      </c>
      <c r="C11" s="10" t="inlineStr">
        <is>
          <t>7.06%</t>
        </is>
      </c>
      <c r="D11" s="10" t="inlineStr">
        <is>
          <t>🟢 安全</t>
        </is>
      </c>
      <c r="E11" s="13" t="n">
        <v>406</v>
      </c>
      <c r="F11" s="10" t="inlineStr">
        <is>
          <t>12%</t>
        </is>
      </c>
      <c r="G11" s="10" t="n">
        <v>9.74</v>
      </c>
      <c r="H11" s="12" t="inlineStr">
        <is>
          <t>杠杆率 实测 7.06%</t>
        </is>
      </c>
    </row>
    <row r="12" ht="32" customHeight="1">
      <c r="A12" s="15" t="inlineStr">
        <is>
          <t>综合得分</t>
        </is>
      </c>
      <c r="B12" s="25" t="n"/>
      <c r="C12" s="25" t="n"/>
      <c r="D12" s="25" t="n"/>
      <c r="E12" s="25" t="n"/>
      <c r="F12" s="26" t="n"/>
      <c r="G12" s="15" t="inlineStr">
        <is>
          <t>69.51/100</t>
        </is>
      </c>
      <c r="H12" s="15">
        <f>347.57/500</f>
        <v/>
      </c>
    </row>
    <row r="13" ht="32" customHeight="1">
      <c r="A13" s="16" t="inlineStr">
        <is>
          <t>综合评级</t>
        </is>
      </c>
      <c r="B13" s="25" t="n"/>
      <c r="C13" s="25" t="n"/>
      <c r="D13" s="25" t="n"/>
      <c r="E13" s="25" t="n"/>
      <c r="F13" s="26" t="n"/>
      <c r="G13" s="16" t="inlineStr">
        <is>
          <t>C 较弱</t>
        </is>
      </c>
      <c r="H13" s="16" t="inlineStr">
        <is>
          <t>满分 100 (500/500)</t>
        </is>
      </c>
    </row>
  </sheetData>
  <mergeCells count="4">
    <mergeCell ref="A13:F13"/>
    <mergeCell ref="A2:H2"/>
    <mergeCell ref="A12:F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topLeftCell="A9" workbookViewId="0">
      <selection activeCell="A1" sqref="A1:D1"/>
    </sheetView>
  </sheetViews>
  <sheetFormatPr baseColWidth="8" defaultColWidth="9" defaultRowHeight="14"/>
  <cols>
    <col width="22" customWidth="1" min="1" max="1"/>
    <col width="18" customWidth="1" min="2" max="2"/>
    <col width="22" customWidth="1" min="3" max="3"/>
    <col width="35" customWidth="1" min="4" max="4"/>
  </cols>
  <sheetData>
    <row r="1" ht="30" customHeight="1">
      <c r="A1" s="1" t="inlineStr">
        <is>
          <t>v12 0-500 分评分规则 + 平滑性约束 + 7 指标说明</t>
        </is>
      </c>
    </row>
    <row r="3" ht="18" customHeight="1">
      <c r="A3" s="2" t="inlineStr">
        <is>
          <t>一、0-500 分评分规则 (替代 v11 的 0-100 分 + -500 红线)</t>
        </is>
      </c>
    </row>
    <row r="5" ht="16.5" customHeight="1">
      <c r="A5" s="3" t="inlineStr">
        <is>
          <t>档位</t>
        </is>
      </c>
      <c r="B5" s="3" t="inlineStr">
        <is>
          <t>分值</t>
        </is>
      </c>
      <c r="C5" s="3" t="inlineStr">
        <is>
          <t>含义</t>
        </is>
      </c>
      <c r="D5" s="3" t="inlineStr">
        <is>
          <t>示例</t>
        </is>
      </c>
    </row>
    <row r="6" ht="43.5" customHeight="1">
      <c r="A6" s="4" t="inlineStr">
        <is>
          <t>不达标</t>
        </is>
      </c>
      <c r="B6" s="5" t="inlineStr">
        <is>
          <t>0</t>
        </is>
      </c>
      <c r="C6" s="5" t="inlineStr">
        <is>
          <t>触发监管 / 硬约束 彻底淘汰</t>
        </is>
      </c>
      <c r="D6" s="5" t="inlineStr">
        <is>
          <t>LCR&lt;120% / NSFR&lt;100% / EVE&gt;15% / CET1&lt;8.7% / ROE&lt;6% / IBL&gt;33.33% / LR&lt;4%</t>
        </is>
      </c>
    </row>
    <row r="7" ht="29" customHeight="1">
      <c r="A7" s="6" t="inlineStr">
        <is>
          <t>危险</t>
        </is>
      </c>
      <c r="B7" s="5" t="inlineStr">
        <is>
          <t>0-150</t>
        </is>
      </c>
      <c r="C7" s="5" t="inlineStr">
        <is>
          <t>距适度最优 4/5 以上</t>
        </is>
      </c>
      <c r="D7" s="5" t="inlineStr">
        <is>
          <t>LCR 120-128% / CET1 8.7-8.84% / EVE 12-15% / IBL 27-33.33% / LR 4-4.3%</t>
        </is>
      </c>
    </row>
    <row r="8" ht="29" customHeight="1">
      <c r="A8" s="7" t="inlineStr">
        <is>
          <t>预警</t>
        </is>
      </c>
      <c r="B8" s="5" t="inlineStr">
        <is>
          <t>150-300</t>
        </is>
      </c>
      <c r="C8" s="5" t="inlineStr">
        <is>
          <t>距适度最优 2/5-3/5</t>
        </is>
      </c>
      <c r="D8" s="5" t="inlineStr">
        <is>
          <t>LCR 128-140% / CET1 8.84-9% / NSFR 103-105% / EVE 10-12% / LR 4.3-6%</t>
        </is>
      </c>
    </row>
    <row r="9" ht="43.5" customHeight="1">
      <c r="A9" s="8" t="inlineStr">
        <is>
          <t>安全</t>
        </is>
      </c>
      <c r="B9" s="5" t="inlineStr">
        <is>
          <t>300-500</t>
        </is>
      </c>
      <c r="C9" s="5" t="inlineStr">
        <is>
          <t>完全合规, 满分 500</t>
        </is>
      </c>
      <c r="D9" s="5" t="inlineStr">
        <is>
          <t>LCR 140-150% / CET1 9-10% / NSFR 105-107% / EVE 6-10% / IBL 20-25% / LR 6-8%</t>
        </is>
      </c>
    </row>
    <row r="12" ht="18" customHeight="1">
      <c r="A12" s="2" t="inlineStr">
        <is>
          <t>二、平滑性约束 (避免极端波动方案)</t>
        </is>
      </c>
    </row>
    <row r="14" ht="16.5" customHeight="1">
      <c r="A14" s="9" t="inlineStr">
        <is>
          <t>变化量</t>
        </is>
      </c>
      <c r="B14" s="9" t="inlineStr">
        <is>
          <t>扣分系数</t>
        </is>
      </c>
      <c r="C14" s="9" t="inlineStr">
        <is>
          <t>业务含义</t>
        </is>
      </c>
      <c r="D14" s="9" t="inlineStr"/>
    </row>
    <row r="15" ht="14.5" customHeight="1">
      <c r="A15" s="10" t="inlineStr">
        <is>
          <t>&lt; 1pp</t>
        </is>
      </c>
      <c r="B15" s="10" t="inlineStr">
        <is>
          <t>0</t>
        </is>
      </c>
      <c r="C15" s="10" t="inlineStr">
        <is>
          <t>业务可落地</t>
        </is>
      </c>
      <c r="D15" s="10" t="inlineStr"/>
    </row>
    <row r="16" ht="14.5" customHeight="1">
      <c r="A16" s="10" t="inlineStr">
        <is>
          <t>1-3pp</t>
        </is>
      </c>
      <c r="B16" s="10" t="inlineStr">
        <is>
          <t>-5/pp</t>
        </is>
      </c>
      <c r="C16" s="10" t="inlineStr">
        <is>
          <t>需注意</t>
        </is>
      </c>
      <c r="D16" s="10" t="inlineStr"/>
    </row>
    <row r="17" ht="14.5" customHeight="1">
      <c r="A17" s="10" t="inlineStr">
        <is>
          <t>3-5pp</t>
        </is>
      </c>
      <c r="B17" s="10" t="inlineStr">
        <is>
          <t>-15/pp</t>
        </is>
      </c>
      <c r="C17" s="10" t="inlineStr">
        <is>
          <t>业务论证</t>
        </is>
      </c>
      <c r="D17" s="10" t="inlineStr"/>
    </row>
    <row r="18" ht="14.5" customHeight="1">
      <c r="A18" s="10" t="inlineStr">
        <is>
          <t>5-10pp</t>
        </is>
      </c>
      <c r="B18" s="10" t="inlineStr">
        <is>
          <t>-30/pp</t>
        </is>
      </c>
      <c r="C18" s="10" t="inlineStr">
        <is>
          <t>大幅扣分</t>
        </is>
      </c>
      <c r="D18" s="10" t="inlineStr"/>
    </row>
    <row r="19" ht="14.5" customHeight="1">
      <c r="A19" s="10" t="inlineStr">
        <is>
          <t>&gt; 10pp</t>
        </is>
      </c>
      <c r="B19" s="10" t="inlineStr">
        <is>
          <t>-60/pp</t>
        </is>
      </c>
      <c r="C19" s="10" t="inlineStr">
        <is>
          <t>极端波动</t>
        </is>
      </c>
      <c r="D19" s="10" t="inlineStr"/>
    </row>
    <row r="21" ht="18" customHeight="1">
      <c r="A21" s="2" t="inlineStr">
        <is>
          <t>三、7 指标说明</t>
        </is>
      </c>
    </row>
    <row r="23" ht="16.5" customHeight="1">
      <c r="A23" s="3" t="inlineStr">
        <is>
          <t>指标</t>
        </is>
      </c>
      <c r="B23" s="3" t="inlineStr">
        <is>
          <t>类型</t>
        </is>
      </c>
      <c r="C23" s="3" t="inlineStr">
        <is>
          <t>红线 (0 分)</t>
        </is>
      </c>
      <c r="D23" s="3" t="inlineStr">
        <is>
          <t>适度最优 (500 分)</t>
        </is>
      </c>
    </row>
    <row r="24" ht="14.5" customHeight="1">
      <c r="A24" s="5" t="inlineStr">
        <is>
          <t>LCR 流动性覆盖率</t>
        </is>
      </c>
      <c r="B24" s="5" t="inlineStr">
        <is>
          <t>适度最优</t>
        </is>
      </c>
      <c r="C24" s="5" t="inlineStr">
        <is>
          <t>&lt; 120% (本行底线)</t>
        </is>
      </c>
      <c r="D24" s="5" t="inlineStr">
        <is>
          <t>140-150%</t>
        </is>
      </c>
    </row>
    <row r="25" ht="14.5" customHeight="1">
      <c r="A25" s="5" t="inlineStr">
        <is>
          <t>NSFR 净稳定资金比例</t>
        </is>
      </c>
      <c r="B25" s="5" t="inlineStr">
        <is>
          <t>适度最优</t>
        </is>
      </c>
      <c r="C25" s="5" t="inlineStr">
        <is>
          <t>&lt; 100% (监管)</t>
        </is>
      </c>
      <c r="D25" s="5" t="inlineStr">
        <is>
          <t>105-107%</t>
        </is>
      </c>
    </row>
    <row r="26" ht="14.5" customHeight="1">
      <c r="A26" s="5" t="inlineStr">
        <is>
          <t>EVE 银行账户利率风险</t>
        </is>
      </c>
      <c r="B26" s="5" t="inlineStr">
        <is>
          <t>越低越好</t>
        </is>
      </c>
      <c r="C26" s="5" t="inlineStr">
        <is>
          <t>&gt; 15% (监管)</t>
        </is>
      </c>
      <c r="D26" s="5" t="inlineStr">
        <is>
          <t>6-8%</t>
        </is>
      </c>
    </row>
    <row r="27" ht="14.5" customHeight="1">
      <c r="A27" s="5" t="inlineStr">
        <is>
          <t>CET1 核心一级资本充足率</t>
        </is>
      </c>
      <c r="B27" s="5" t="inlineStr">
        <is>
          <t>适度最优</t>
        </is>
      </c>
      <c r="C27" s="5" t="inlineStr">
        <is>
          <t>&lt; 8.7% (7.5+0.5+0.7)</t>
        </is>
      </c>
      <c r="D27" s="5" t="inlineStr">
        <is>
          <t>9-10%</t>
        </is>
      </c>
    </row>
    <row r="28" ht="14.5" customHeight="1">
      <c r="A28" s="5" t="inlineStr">
        <is>
          <t>ROE 净资产收益率</t>
        </is>
      </c>
      <c r="B28" s="5" t="inlineStr">
        <is>
          <t>越高越好+硬约束</t>
        </is>
      </c>
      <c r="C28" s="5" t="inlineStr">
        <is>
          <t>&lt; 6% (硬约束)</t>
        </is>
      </c>
      <c r="D28" s="5" t="inlineStr">
        <is>
          <t>≥ 12%</t>
        </is>
      </c>
    </row>
    <row r="29" ht="14.5" customHeight="1">
      <c r="A29" s="5" t="inlineStr">
        <is>
          <t>IBL 同业负债占总负债比</t>
        </is>
      </c>
      <c r="B29" s="5" t="inlineStr">
        <is>
          <t>越低越好</t>
        </is>
      </c>
      <c r="C29" s="5" t="inlineStr">
        <is>
          <t>&gt; 33.33% (监管)</t>
        </is>
      </c>
      <c r="D29" s="5" t="inlineStr">
        <is>
          <t>≤ 20%</t>
        </is>
      </c>
    </row>
    <row r="30" ht="14.5" customHeight="1">
      <c r="A30" s="5" t="inlineStr">
        <is>
          <t>LR 杠杆率</t>
        </is>
      </c>
      <c r="B30" s="5" t="inlineStr">
        <is>
          <t>适度最优</t>
        </is>
      </c>
      <c r="C30" s="5" t="inlineStr">
        <is>
          <t>&lt; 4% (银保监)</t>
        </is>
      </c>
      <c r="D30" s="5" t="inlineStr">
        <is>
          <t>6-8%</t>
        </is>
      </c>
    </row>
  </sheetData>
  <mergeCells count="4">
    <mergeCell ref="A1:D1"/>
    <mergeCell ref="A12:D12"/>
    <mergeCell ref="A3:D3"/>
    <mergeCell ref="A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2" customWidth="1" min="4" max="4"/>
    <col width="24" customWidth="1" min="5" max="5"/>
    <col width="24" customWidth="1" min="6" max="6"/>
  </cols>
  <sheetData>
    <row r="1" ht="30" customHeight="1">
      <c r="A1" s="27" t="inlineStr">
        <is>
          <t>打分算法说明 (Scoring Algorithm Specification)</t>
        </is>
      </c>
    </row>
    <row r="2">
      <c r="A2" s="28" t="inlineStr">
        <is>
          <t>字段命名参考 prcp 指标方案/指标定义/指标维护/指标评分模块 | 本次: LCR/NSFR/EVE/CET1/ROE 5 指标 | 只评分不评级 | 权重默认 1</t>
        </is>
      </c>
    </row>
    <row r="4" ht="26" customHeight="1">
      <c r="A4" s="29" t="inlineStr">
        <is>
          <t>一、算法概述</t>
        </is>
      </c>
    </row>
    <row r="5" ht="64" customHeight="1">
      <c r="A5" s="30" t="inlineStr">
        <is>
          <t>打分引擎只做两件事:
  1. 单指标评分: 根据 prcp_kpi_score_segment (区间段) 找到实际值所在段, 返回 score
  2. 多指标求和: 各指标 score 直接相加 (权重默认 1), 得到总分
所有评分规则通过 prcp 指标方案 (prcp_kpi_scheme) 的内容封装传入, 本工具类不内置任何规则.</t>
        </is>
      </c>
    </row>
    <row r="7">
      <c r="A7" s="31" t="inlineStr">
        <is>
          <t>1.1 算法流程图</t>
        </is>
      </c>
    </row>
    <row r="8" ht="18" customHeight="1">
      <c r="A8" s="30" t="inlineStr">
        <is>
          <t>输入: prcp 评分方案内容 (KpiScheme + KpiDefinition + KpiScoreRule + KpiScoreSegment)</t>
        </is>
      </c>
    </row>
    <row r="9" ht="18" customHeight="1">
      <c r="A9" s="30" t="inlineStr">
        <is>
          <t xml:space="preserve">  ↓</t>
        </is>
      </c>
    </row>
    <row r="10" ht="18" customHeight="1">
      <c r="A10" s="30" t="inlineStr">
        <is>
          <t>[1] 单指标评分: 对每个 (kpi_code, value), 在 KpiScoreSegment 中按 seg_order 查找 value 所在段</t>
        </is>
      </c>
    </row>
    <row r="11" ht="18" customHeight="1">
      <c r="A11" s="30" t="inlineStr">
        <is>
          <t xml:space="preserve">  ↓</t>
        </is>
      </c>
    </row>
    <row r="12" ht="18" customHeight="1">
      <c r="A12" s="30" t="inlineStr">
        <is>
          <t xml:space="preserve">  → 首个满足 min_value &lt;= value &lt;= max_value 的段位 → score</t>
        </is>
      </c>
    </row>
    <row r="13" ht="18" customHeight="1">
      <c r="A13" s="30" t="inlineStr">
        <is>
          <t xml:space="preserve">  ↓</t>
        </is>
      </c>
    </row>
    <row r="14" ht="18" customHeight="1">
      <c r="A14" s="30" t="inlineStr">
        <is>
          <t>[2] 多指标求和: total_score = Σ score_i (各 score 等权相加, 默认 weight=1)</t>
        </is>
      </c>
    </row>
    <row r="15" ht="18" customHeight="1">
      <c r="A15" s="30" t="inlineStr">
        <is>
          <t xml:space="preserve">  ↓</t>
        </is>
      </c>
    </row>
    <row r="16" ht="18" customHeight="1">
      <c r="A16" s="30" t="inlineStr">
        <is>
          <t>(注: 本版不做评级映射)</t>
        </is>
      </c>
    </row>
    <row r="17" ht="18" customHeight="1">
      <c r="A17" s="30" t="inlineStr">
        <is>
          <t xml:space="preserve">  ↓</t>
        </is>
      </c>
    </row>
    <row r="18" ht="18" customHeight="1">
      <c r="A18" s="30" t="inlineStr">
        <is>
          <t>输出: {total_score, details: [{kpi_code, kpi_name, current_value, score, segment_desc}] }</t>
        </is>
      </c>
    </row>
    <row r="20" ht="26" customHeight="1">
      <c r="A20" s="29" t="inlineStr">
        <is>
          <t>二、配置数据结构 (来自 prcp 指标方案模块)</t>
        </is>
      </c>
    </row>
    <row r="21" ht="96" customHeight="1">
      <c r="A21" s="30" t="inlineStr">
        <is>
          <t>字段命名参考 prcp-java (com.prcp.business.kpi.entity):
  - KpiScheme (prcp_kpi_scheme): 方案元数据
  - KpiDefinition (prcp_kpi_definition): 指标定义
  - KpiScoreRule (prcp_kpi_score_rule): 评分规则
  - KpiScoreSegment (prcp_kpi_score_segment): 评分段位
  - KpiValue (prcp_kpi_value): 指标实测值</t>
        </is>
      </c>
    </row>
    <row r="23">
      <c r="A23" s="31" t="inlineStr">
        <is>
          <t>2.1 KpiScheme (方案元数据)</t>
        </is>
      </c>
    </row>
    <row r="24" ht="24" customHeight="1">
      <c r="A24" s="32" t="inlineStr">
        <is>
          <t>字段</t>
        </is>
      </c>
      <c r="B24" s="32" t="inlineStr">
        <is>
          <t>类型</t>
        </is>
      </c>
      <c r="C24" s="32" t="inlineStr">
        <is>
          <t>必填</t>
        </is>
      </c>
      <c r="D24" s="32" t="inlineStr">
        <is>
          <t>说明</t>
        </is>
      </c>
    </row>
    <row r="25">
      <c r="A25" s="33" t="inlineStr">
        <is>
          <t>字段</t>
        </is>
      </c>
      <c r="B25" s="33" t="inlineStr">
        <is>
          <t>类型</t>
        </is>
      </c>
      <c r="C25" s="33" t="inlineStr">
        <is>
          <t>必填</t>
        </is>
      </c>
      <c r="D25" s="33" t="inlineStr">
        <is>
          <t>说明</t>
        </is>
      </c>
    </row>
    <row r="26">
      <c r="A26" s="33" t="inlineStr">
        <is>
          <t>id</t>
        </is>
      </c>
      <c r="B26" s="33" t="inlineStr">
        <is>
          <t>long</t>
        </is>
      </c>
      <c r="C26" s="33" t="inlineStr">
        <is>
          <t>否</t>
        </is>
      </c>
      <c r="D26" s="33" t="inlineStr">
        <is>
          <t>数据库主键, 工具类可不关心</t>
        </is>
      </c>
    </row>
    <row r="27">
      <c r="A27" s="33" t="inlineStr">
        <is>
          <t>scheme_code</t>
        </is>
      </c>
      <c r="B27" s="33" t="inlineStr">
        <is>
          <t>str</t>
        </is>
      </c>
      <c r="C27" s="33" t="inlineStr">
        <is>
          <t>是</t>
        </is>
      </c>
      <c r="D27" s="33" t="inlineStr">
        <is>
          <t>方案编码 (唯一), 用于关联 KpiDefinition/KpiScoreRule</t>
        </is>
      </c>
    </row>
    <row r="28">
      <c r="A28" s="33" t="inlineStr">
        <is>
          <t>scheme_name</t>
        </is>
      </c>
      <c r="B28" s="33" t="inlineStr">
        <is>
          <t>str</t>
        </is>
      </c>
      <c r="C28" s="33" t="inlineStr">
        <is>
          <t>是</t>
        </is>
      </c>
      <c r="D28" s="33" t="inlineStr">
        <is>
          <t>方案中文名</t>
        </is>
      </c>
    </row>
    <row r="29">
      <c r="A29" s="33" t="inlineStr">
        <is>
          <t>description</t>
        </is>
      </c>
      <c r="B29" s="33" t="inlineStr">
        <is>
          <t>str</t>
        </is>
      </c>
      <c r="C29" s="33" t="inlineStr">
        <is>
          <t>否</t>
        </is>
      </c>
      <c r="D29" s="33" t="inlineStr">
        <is>
          <t>方案描述</t>
        </is>
      </c>
    </row>
    <row r="30">
      <c r="A30" s="33" t="inlineStr">
        <is>
          <t>kpi_count</t>
        </is>
      </c>
      <c r="B30" s="33" t="inlineStr">
        <is>
          <t>int</t>
        </is>
      </c>
      <c r="C30" s="33" t="inlineStr">
        <is>
          <t>否</t>
        </is>
      </c>
      <c r="D30" s="33" t="inlineStr">
        <is>
          <t>方案包含的指标数 (冗余字段)</t>
        </is>
      </c>
    </row>
    <row r="31">
      <c r="A31" s="33" t="inlineStr">
        <is>
          <t>status</t>
        </is>
      </c>
      <c r="B31" s="33" t="inlineStr">
        <is>
          <t>str</t>
        </is>
      </c>
      <c r="C31" s="33" t="inlineStr">
        <is>
          <t>否</t>
        </is>
      </c>
      <c r="D31" s="33" t="inlineStr">
        <is>
          <t>ACTIVE / DISABLED</t>
        </is>
      </c>
    </row>
    <row r="32">
      <c r="A32" s="33" t="inlineStr">
        <is>
          <t>created_by / updated_by</t>
        </is>
      </c>
      <c r="B32" s="33" t="inlineStr">
        <is>
          <t>long</t>
        </is>
      </c>
      <c r="C32" s="33" t="inlineStr">
        <is>
          <t>否</t>
        </is>
      </c>
      <c r="D32" s="33" t="inlineStr">
        <is>
          <t>审计字段</t>
        </is>
      </c>
    </row>
    <row r="33">
      <c r="A33" s="33" t="inlineStr">
        <is>
          <t>created_at / updated_at</t>
        </is>
      </c>
      <c r="B33" s="33" t="inlineStr">
        <is>
          <t>datetime</t>
        </is>
      </c>
      <c r="C33" s="33" t="inlineStr">
        <is>
          <t>否</t>
        </is>
      </c>
      <c r="D33" s="33" t="inlineStr">
        <is>
          <t>审计字段</t>
        </is>
      </c>
    </row>
    <row r="34">
      <c r="A34" s="33" t="inlineStr">
        <is>
          <t>is_deleted</t>
        </is>
      </c>
      <c r="B34" s="33" t="inlineStr">
        <is>
          <t>int</t>
        </is>
      </c>
      <c r="C34" s="33" t="inlineStr">
        <is>
          <t>否</t>
        </is>
      </c>
      <c r="D34" s="33" t="inlineStr">
        <is>
          <t>逻辑删除 (0/1)</t>
        </is>
      </c>
    </row>
    <row r="36">
      <c r="A36" s="31" t="inlineStr">
        <is>
          <t>2.2 KpiDefinition (指标定义)</t>
        </is>
      </c>
    </row>
    <row r="37" ht="24" customHeight="1">
      <c r="A37" s="32" t="inlineStr">
        <is>
          <t>字段</t>
        </is>
      </c>
      <c r="B37" s="32" t="inlineStr">
        <is>
          <t>类型</t>
        </is>
      </c>
      <c r="C37" s="32" t="inlineStr">
        <is>
          <t>必填</t>
        </is>
      </c>
      <c r="D37" s="32" t="inlineStr">
        <is>
          <t>说明</t>
        </is>
      </c>
    </row>
    <row r="38">
      <c r="A38" s="33" t="inlineStr">
        <is>
          <t>字段</t>
        </is>
      </c>
      <c r="B38" s="33" t="inlineStr">
        <is>
          <t>类型</t>
        </is>
      </c>
      <c r="C38" s="33" t="inlineStr">
        <is>
          <t>必填</t>
        </is>
      </c>
      <c r="D38" s="33" t="inlineStr">
        <is>
          <t>说明</t>
        </is>
      </c>
    </row>
    <row r="39">
      <c r="A39" s="33" t="inlineStr">
        <is>
          <t>id</t>
        </is>
      </c>
      <c r="B39" s="33" t="inlineStr">
        <is>
          <t>long</t>
        </is>
      </c>
      <c r="C39" s="33" t="inlineStr">
        <is>
          <t>否</t>
        </is>
      </c>
      <c r="D39" s="33" t="inlineStr">
        <is>
          <t>主键</t>
        </is>
      </c>
    </row>
    <row r="40">
      <c r="A40" s="33" t="inlineStr">
        <is>
          <t>scheme_id</t>
        </is>
      </c>
      <c r="B40" s="33" t="inlineStr">
        <is>
          <t>long</t>
        </is>
      </c>
      <c r="C40" s="33" t="inlineStr">
        <is>
          <t>是</t>
        </is>
      </c>
      <c r="D40" s="33" t="inlineStr">
        <is>
          <t>关联 KpiScheme</t>
        </is>
      </c>
    </row>
    <row r="41">
      <c r="A41" s="33" t="inlineStr">
        <is>
          <t>kpi_code</t>
        </is>
      </c>
      <c r="B41" s="33" t="inlineStr">
        <is>
          <t>str</t>
        </is>
      </c>
      <c r="C41" s="33" t="inlineStr">
        <is>
          <t>是</t>
        </is>
      </c>
      <c r="D41" s="33" t="inlineStr">
        <is>
          <t>指标编码 (如 'LCR'), 唯一</t>
        </is>
      </c>
    </row>
    <row r="42">
      <c r="A42" s="33" t="inlineStr">
        <is>
          <t>kpi_name</t>
        </is>
      </c>
      <c r="B42" s="33" t="inlineStr">
        <is>
          <t>str</t>
        </is>
      </c>
      <c r="C42" s="33" t="inlineStr">
        <is>
          <t>是</t>
        </is>
      </c>
      <c r="D42" s="33" t="inlineStr">
        <is>
          <t>指标中文名 (如 '流动性覆盖率')</t>
        </is>
      </c>
    </row>
    <row r="43">
      <c r="A43" s="33" t="inlineStr">
        <is>
          <t>indicator_type</t>
        </is>
      </c>
      <c r="B43" s="33" t="inlineStr">
        <is>
          <t>int</t>
        </is>
      </c>
      <c r="C43" s="33" t="inlineStr">
        <is>
          <t>否</t>
        </is>
      </c>
      <c r="D43" s="33" t="inlineStr">
        <is>
          <t>1=公式 2=函数, 本工具类只读 score 字段不关心</t>
        </is>
      </c>
    </row>
    <row r="44">
      <c r="A44" s="33" t="inlineStr">
        <is>
          <t>formula</t>
        </is>
      </c>
      <c r="B44" s="33" t="inlineStr">
        <is>
          <t>str</t>
        </is>
      </c>
      <c r="C44" s="33" t="inlineStr">
        <is>
          <t>否</t>
        </is>
      </c>
      <c r="D44" s="33" t="inlineStr">
        <is>
          <t>指标计算公式 (工具类不解析)</t>
        </is>
      </c>
    </row>
    <row r="45">
      <c r="A45" s="33" t="inlineStr">
        <is>
          <t>calc_unit</t>
        </is>
      </c>
      <c r="B45" s="33" t="inlineStr">
        <is>
          <t>str</t>
        </is>
      </c>
      <c r="C45" s="33" t="inlineStr">
        <is>
          <t>否</t>
        </is>
      </c>
      <c r="D45" s="33" t="inlineStr">
        <is>
          <t>计算单位 (%, 倍, 元)</t>
        </is>
      </c>
    </row>
    <row r="46">
      <c r="A46" s="33" t="inlineStr">
        <is>
          <t>formula_desc</t>
        </is>
      </c>
      <c r="B46" s="33" t="inlineStr">
        <is>
          <t>str</t>
        </is>
      </c>
      <c r="C46" s="33" t="inlineStr">
        <is>
          <t>否</t>
        </is>
      </c>
      <c r="D46" s="33" t="inlineStr">
        <is>
          <t>公式说明</t>
        </is>
      </c>
    </row>
    <row r="47">
      <c r="A47" s="33" t="inlineStr">
        <is>
          <t>threshold_min</t>
        </is>
      </c>
      <c r="B47" s="33" t="inlineStr">
        <is>
          <t>decimal</t>
        </is>
      </c>
      <c r="C47" s="33" t="inlineStr">
        <is>
          <t>否</t>
        </is>
      </c>
      <c r="D47" s="33" t="inlineStr">
        <is>
          <t>监管/经营最小值</t>
        </is>
      </c>
    </row>
    <row r="48">
      <c r="A48" s="33" t="inlineStr">
        <is>
          <t>threshold_max</t>
        </is>
      </c>
      <c r="B48" s="33" t="inlineStr">
        <is>
          <t>decimal</t>
        </is>
      </c>
      <c r="C48" s="33" t="inlineStr">
        <is>
          <t>否</t>
        </is>
      </c>
      <c r="D48" s="33" t="inlineStr">
        <is>
          <t>监管/经营最大值</t>
        </is>
      </c>
    </row>
    <row r="49">
      <c r="A49" s="33" t="inlineStr">
        <is>
          <t>status</t>
        </is>
      </c>
      <c r="B49" s="33" t="inlineStr">
        <is>
          <t>str</t>
        </is>
      </c>
      <c r="C49" s="33" t="inlineStr">
        <is>
          <t>否</t>
        </is>
      </c>
      <c r="D49" s="33" t="inlineStr">
        <is>
          <t>ACTIVE / DISABLED</t>
        </is>
      </c>
    </row>
    <row r="51">
      <c r="A51" s="31" t="inlineStr">
        <is>
          <t>2.3 KpiScoreRule (评分规则)</t>
        </is>
      </c>
    </row>
    <row r="52" ht="24" customHeight="1">
      <c r="A52" s="32" t="inlineStr">
        <is>
          <t>字段</t>
        </is>
      </c>
      <c r="B52" s="32" t="inlineStr">
        <is>
          <t>类型</t>
        </is>
      </c>
      <c r="C52" s="32" t="inlineStr">
        <is>
          <t>必填</t>
        </is>
      </c>
      <c r="D52" s="32" t="inlineStr">
        <is>
          <t>说明</t>
        </is>
      </c>
    </row>
    <row r="53">
      <c r="A53" s="33" t="inlineStr">
        <is>
          <t>字段</t>
        </is>
      </c>
      <c r="B53" s="33" t="inlineStr">
        <is>
          <t>类型</t>
        </is>
      </c>
      <c r="C53" s="33" t="inlineStr">
        <is>
          <t>必填</t>
        </is>
      </c>
      <c r="D53" s="33" t="inlineStr">
        <is>
          <t>说明</t>
        </is>
      </c>
    </row>
    <row r="54">
      <c r="A54" s="33" t="inlineStr">
        <is>
          <t>id</t>
        </is>
      </c>
      <c r="B54" s="33" t="inlineStr">
        <is>
          <t>long</t>
        </is>
      </c>
      <c r="C54" s="33" t="inlineStr">
        <is>
          <t>否</t>
        </is>
      </c>
      <c r="D54" s="33" t="inlineStr">
        <is>
          <t>主键</t>
        </is>
      </c>
    </row>
    <row r="55">
      <c r="A55" s="33" t="inlineStr">
        <is>
          <t>scheme_id</t>
        </is>
      </c>
      <c r="B55" s="33" t="inlineStr">
        <is>
          <t>long</t>
        </is>
      </c>
      <c r="C55" s="33" t="inlineStr">
        <is>
          <t>是</t>
        </is>
      </c>
      <c r="D55" s="33" t="inlineStr">
        <is>
          <t>关联 KpiScheme</t>
        </is>
      </c>
    </row>
    <row r="56">
      <c r="A56" s="33" t="inlineStr">
        <is>
          <t>kpi_id</t>
        </is>
      </c>
      <c r="B56" s="33" t="inlineStr">
        <is>
          <t>long</t>
        </is>
      </c>
      <c r="C56" s="33" t="inlineStr">
        <is>
          <t>是</t>
        </is>
      </c>
      <c r="D56" s="33" t="inlineStr">
        <is>
          <t>关联 KpiDefinition</t>
        </is>
      </c>
    </row>
    <row r="57">
      <c r="A57" s="33" t="inlineStr">
        <is>
          <t>rule_name</t>
        </is>
      </c>
      <c r="B57" s="33" t="inlineStr">
        <is>
          <t>str</t>
        </is>
      </c>
      <c r="C57" s="33" t="inlineStr">
        <is>
          <t>是</t>
        </is>
      </c>
      <c r="D57" s="33" t="inlineStr">
        <is>
          <t>规则名称 (如 'LCR 评分规则')</t>
        </is>
      </c>
    </row>
    <row r="58">
      <c r="A58" s="33" t="inlineStr">
        <is>
          <t>calc_method</t>
        </is>
      </c>
      <c r="B58" s="33" t="inlineStr">
        <is>
          <t>str</t>
        </is>
      </c>
      <c r="C58" s="33" t="inlineStr">
        <is>
          <t>否</t>
        </is>
      </c>
      <c r="D58" s="33" t="inlineStr">
        <is>
          <t>INTERVAL (默认值) / LINEAR / STEP</t>
        </is>
      </c>
    </row>
    <row r="59">
      <c r="A59" s="33" t="inlineStr">
        <is>
          <t>total_score</t>
        </is>
      </c>
      <c r="B59" s="33" t="inlineStr">
        <is>
          <t>decimal</t>
        </is>
      </c>
      <c r="C59" s="33" t="inlineStr">
        <is>
          <t>否</t>
        </is>
      </c>
      <c r="D59" s="33" t="inlineStr">
        <is>
          <t>规则满分 (默认 100, 用于归一化)</t>
        </is>
      </c>
    </row>
    <row r="60">
      <c r="A60" s="33" t="inlineStr">
        <is>
          <t>higher_is_better</t>
        </is>
      </c>
      <c r="B60" s="33" t="inlineStr">
        <is>
          <t>int</t>
        </is>
      </c>
      <c r="C60" s="33" t="inlineStr">
        <is>
          <t>是</t>
        </is>
      </c>
      <c r="D60" s="33" t="inlineStr">
        <is>
          <t>1=越高越好 (如 LCR) / 0=越低越好 (如 EVE)</t>
        </is>
      </c>
    </row>
    <row r="61">
      <c r="A61" s="33" t="inlineStr">
        <is>
          <t>description</t>
        </is>
      </c>
      <c r="B61" s="33" t="inlineStr">
        <is>
          <t>str</t>
        </is>
      </c>
      <c r="C61" s="33" t="inlineStr">
        <is>
          <t>否</t>
        </is>
      </c>
      <c r="D61" s="33" t="inlineStr">
        <is>
          <t>规则描述</t>
        </is>
      </c>
    </row>
    <row r="62">
      <c r="A62" s="33" t="inlineStr">
        <is>
          <t>status</t>
        </is>
      </c>
      <c r="B62" s="33" t="inlineStr">
        <is>
          <t>str</t>
        </is>
      </c>
      <c r="C62" s="33" t="inlineStr">
        <is>
          <t>否</t>
        </is>
      </c>
      <c r="D62" s="33" t="inlineStr">
        <is>
          <t>ACTIVE / DISABLED</t>
        </is>
      </c>
    </row>
    <row r="64">
      <c r="A64" s="31" t="inlineStr">
        <is>
          <t>2.4 KpiScoreSegment (评分段位)</t>
        </is>
      </c>
    </row>
    <row r="65" ht="24" customHeight="1">
      <c r="A65" s="32" t="inlineStr">
        <is>
          <t>字段</t>
        </is>
      </c>
      <c r="B65" s="32" t="inlineStr">
        <is>
          <t>类型</t>
        </is>
      </c>
      <c r="C65" s="32" t="inlineStr">
        <is>
          <t>必填</t>
        </is>
      </c>
      <c r="D65" s="32" t="inlineStr">
        <is>
          <t>说明</t>
        </is>
      </c>
    </row>
    <row r="66">
      <c r="A66" s="33" t="inlineStr">
        <is>
          <t>字段</t>
        </is>
      </c>
      <c r="B66" s="33" t="inlineStr">
        <is>
          <t>类型</t>
        </is>
      </c>
      <c r="C66" s="33" t="inlineStr">
        <is>
          <t>必填</t>
        </is>
      </c>
      <c r="D66" s="33" t="inlineStr">
        <is>
          <t>说明</t>
        </is>
      </c>
    </row>
    <row r="67">
      <c r="A67" s="33" t="inlineStr">
        <is>
          <t>id</t>
        </is>
      </c>
      <c r="B67" s="33" t="inlineStr">
        <is>
          <t>long</t>
        </is>
      </c>
      <c r="C67" s="33" t="inlineStr">
        <is>
          <t>否</t>
        </is>
      </c>
      <c r="D67" s="33" t="inlineStr">
        <is>
          <t>主键</t>
        </is>
      </c>
    </row>
    <row r="68">
      <c r="A68" s="33" t="inlineStr">
        <is>
          <t>rule_id</t>
        </is>
      </c>
      <c r="B68" s="33" t="inlineStr">
        <is>
          <t>long</t>
        </is>
      </c>
      <c r="C68" s="33" t="inlineStr">
        <is>
          <t>是</t>
        </is>
      </c>
      <c r="D68" s="33" t="inlineStr">
        <is>
          <t>关联 KpiScoreRule</t>
        </is>
      </c>
    </row>
    <row r="69">
      <c r="A69" s="33" t="inlineStr">
        <is>
          <t>seg_order</t>
        </is>
      </c>
      <c r="B69" s="33" t="inlineStr">
        <is>
          <t>int</t>
        </is>
      </c>
      <c r="C69" s="33" t="inlineStr">
        <is>
          <t>是</t>
        </is>
      </c>
      <c r="D69" s="33" t="inlineStr">
        <is>
          <t>段位序号, 按升序匹配第一个落入区间</t>
        </is>
      </c>
    </row>
    <row r="70">
      <c r="A70" s="33" t="inlineStr">
        <is>
          <t>min_value</t>
        </is>
      </c>
      <c r="B70" s="33" t="inlineStr">
        <is>
          <t>decimal</t>
        </is>
      </c>
      <c r="C70" s="33" t="inlineStr">
        <is>
          <t>是</t>
        </is>
      </c>
      <c r="D70" s="33" t="inlineStr">
        <is>
          <t>区间下限 (含)</t>
        </is>
      </c>
    </row>
    <row r="71">
      <c r="A71" s="33" t="inlineStr">
        <is>
          <t>max_value</t>
        </is>
      </c>
      <c r="B71" s="33" t="inlineStr">
        <is>
          <t>decimal</t>
        </is>
      </c>
      <c r="C71" s="33" t="inlineStr">
        <is>
          <t>是</t>
        </is>
      </c>
      <c r="D71" s="33" t="inlineStr">
        <is>
          <t>区间上限 (含)</t>
        </is>
      </c>
    </row>
    <row r="72">
      <c r="A72" s="33" t="inlineStr">
        <is>
          <t>score</t>
        </is>
      </c>
      <c r="B72" s="33" t="inlineStr">
        <is>
          <t>decimal</t>
        </is>
      </c>
      <c r="C72" s="33" t="inlineStr">
        <is>
          <t>是</t>
        </is>
      </c>
      <c r="D72" s="33" t="inlineStr">
        <is>
          <t>该段位的分数</t>
        </is>
      </c>
    </row>
    <row r="73">
      <c r="A73" s="33" t="inlineStr">
        <is>
          <t>segment_desc</t>
        </is>
      </c>
      <c r="B73" s="33" t="inlineStr">
        <is>
          <t>str</t>
        </is>
      </c>
      <c r="C73" s="33" t="inlineStr">
        <is>
          <t>否</t>
        </is>
      </c>
      <c r="D73" s="33" t="inlineStr">
        <is>
          <t>段位说明 (如 '红线', '适度最优')</t>
        </is>
      </c>
    </row>
    <row r="74">
      <c r="A74" s="33" t="inlineStr">
        <is>
          <t>is_deleted</t>
        </is>
      </c>
      <c r="B74" s="33" t="inlineStr">
        <is>
          <t>int</t>
        </is>
      </c>
      <c r="C74" s="33" t="inlineStr">
        <is>
          <t>否</t>
        </is>
      </c>
      <c r="D74" s="33" t="inlineStr">
        <is>
          <t>逻辑删除</t>
        </is>
      </c>
    </row>
    <row r="76">
      <c r="A76" s="31" t="inlineStr">
        <is>
          <t>2.5 KpiValue (指标实测值)</t>
        </is>
      </c>
    </row>
    <row r="77" ht="24" customHeight="1">
      <c r="A77" s="32" t="inlineStr">
        <is>
          <t>字段</t>
        </is>
      </c>
      <c r="B77" s="32" t="inlineStr">
        <is>
          <t>类型</t>
        </is>
      </c>
      <c r="C77" s="32" t="inlineStr">
        <is>
          <t>必填</t>
        </is>
      </c>
      <c r="D77" s="32" t="inlineStr">
        <is>
          <t>说明</t>
        </is>
      </c>
    </row>
    <row r="78">
      <c r="A78" s="33" t="inlineStr">
        <is>
          <t>字段</t>
        </is>
      </c>
      <c r="B78" s="33" t="inlineStr">
        <is>
          <t>类型</t>
        </is>
      </c>
      <c r="C78" s="33" t="inlineStr">
        <is>
          <t>必填</t>
        </is>
      </c>
      <c r="D78" s="33" t="inlineStr">
        <is>
          <t>说明</t>
        </is>
      </c>
    </row>
    <row r="79">
      <c r="A79" s="33" t="inlineStr">
        <is>
          <t>id</t>
        </is>
      </c>
      <c r="B79" s="33" t="inlineStr">
        <is>
          <t>long</t>
        </is>
      </c>
      <c r="C79" s="33" t="inlineStr">
        <is>
          <t>否</t>
        </is>
      </c>
      <c r="D79" s="33" t="inlineStr">
        <is>
          <t>主键</t>
        </is>
      </c>
    </row>
    <row r="80">
      <c r="A80" s="33" t="inlineStr">
        <is>
          <t>kpi_id</t>
        </is>
      </c>
      <c r="B80" s="33" t="inlineStr">
        <is>
          <t>long</t>
        </is>
      </c>
      <c r="C80" s="33" t="inlineStr">
        <is>
          <t>是</t>
        </is>
      </c>
      <c r="D80" s="33" t="inlineStr">
        <is>
          <t>关联 KpiDefinition</t>
        </is>
      </c>
    </row>
    <row r="81">
      <c r="A81" s="33" t="inlineStr">
        <is>
          <t>data_date</t>
        </is>
      </c>
      <c r="B81" s="33" t="inlineStr">
        <is>
          <t>date</t>
        </is>
      </c>
      <c r="C81" s="33" t="inlineStr">
        <is>
          <t>是</t>
        </is>
      </c>
      <c r="D81" s="33" t="inlineStr">
        <is>
          <t>数据日期 (如 2025-12-31)</t>
        </is>
      </c>
    </row>
    <row r="82">
      <c r="A82" s="33" t="inlineStr">
        <is>
          <t>version</t>
        </is>
      </c>
      <c r="B82" s="33" t="inlineStr">
        <is>
          <t>str</t>
        </is>
      </c>
      <c r="C82" s="33" t="inlineStr">
        <is>
          <t>否</t>
        </is>
      </c>
      <c r="D82" s="33" t="inlineStr">
        <is>
          <t>方案版本 (如 V1)</t>
        </is>
      </c>
    </row>
    <row r="83">
      <c r="A83" s="33" t="inlineStr">
        <is>
          <t>current_value</t>
        </is>
      </c>
      <c r="B83" s="33" t="inlineStr">
        <is>
          <t>decimal</t>
        </is>
      </c>
      <c r="C83" s="33" t="inlineStr">
        <is>
          <t>是</t>
        </is>
      </c>
      <c r="D83" s="33" t="inlineStr">
        <is>
          <t>当前实测值 (本工具类的输入)</t>
        </is>
      </c>
    </row>
    <row r="84">
      <c r="A84" s="33" t="inlineStr">
        <is>
          <t>prev_value</t>
        </is>
      </c>
      <c r="B84" s="33" t="inlineStr">
        <is>
          <t>decimal</t>
        </is>
      </c>
      <c r="C84" s="33" t="inlineStr">
        <is>
          <t>否</t>
        </is>
      </c>
      <c r="D84" s="33" t="inlineStr">
        <is>
          <t>上一期值 (用于平滑性约束)</t>
        </is>
      </c>
    </row>
    <row r="85">
      <c r="A85" s="33" t="inlineStr">
        <is>
          <t>prev_year_value</t>
        </is>
      </c>
      <c r="B85" s="33" t="inlineStr">
        <is>
          <t>decimal</t>
        </is>
      </c>
      <c r="C85" s="33" t="inlineStr">
        <is>
          <t>否</t>
        </is>
      </c>
      <c r="D85" s="33" t="inlineStr">
        <is>
          <t>上年同期值</t>
        </is>
      </c>
    </row>
    <row r="86">
      <c r="A86" s="33" t="inlineStr">
        <is>
          <t>calc_source</t>
        </is>
      </c>
      <c r="B86" s="33" t="inlineStr">
        <is>
          <t>str</t>
        </is>
      </c>
      <c r="C86" s="33" t="inlineStr">
        <is>
          <t>否</t>
        </is>
      </c>
      <c r="D86" s="33" t="inlineStr">
        <is>
          <t>计算来源 (公式/手工/外部)</t>
        </is>
      </c>
    </row>
    <row r="87">
      <c r="A87" s="33" t="inlineStr">
        <is>
          <t>calc_log</t>
        </is>
      </c>
      <c r="B87" s="33" t="inlineStr">
        <is>
          <t>str</t>
        </is>
      </c>
      <c r="C87" s="33" t="inlineStr">
        <is>
          <t>否</t>
        </is>
      </c>
      <c r="D87" s="33" t="inlineStr">
        <is>
          <t>计算日志</t>
        </is>
      </c>
    </row>
    <row r="88">
      <c r="A88" s="33" t="inlineStr">
        <is>
          <t>score</t>
        </is>
      </c>
      <c r="B88" s="33" t="inlineStr">
        <is>
          <t>decimal</t>
        </is>
      </c>
      <c r="C88" s="33" t="inlineStr">
        <is>
          <t>否</t>
        </is>
      </c>
      <c r="D88" s="33" t="inlineStr">
        <is>
          <t>本工具类输出后回填</t>
        </is>
      </c>
    </row>
    <row r="90" ht="26" customHeight="1">
      <c r="A90" s="29" t="inlineStr">
        <is>
          <t>三、单指标评分算法</t>
        </is>
      </c>
    </row>
    <row r="91">
      <c r="A91" s="31" t="inlineStr">
        <is>
          <t>3.1 函数签名 (Python)</t>
        </is>
      </c>
    </row>
    <row r="92" ht="266" customHeight="1">
      <c r="A92" s="34" t="inlineStr">
        <is>
          <t>def score_indicator(
    kpi_code: str,
    current_value: float,
    score_rule: dict,
    score_segments: List[dict]
) -&gt; dict:
    """
    根据 prcp 评分规则计算单指标得分
    Args:
        kpi_code: 指标编码 (如 "LCR")
        current_value: 指标实测值 (来自 KpiValue.current_value)
        score_rule: KpiScoreRule dict
        score_segments: 该规则的 KpiScoreSegment list (按 seg_order 已排序)
    Returns: dict (写入 KpiValue.score):
        - kpi_code, kpi_name
        - current_value, score, segment_desc
    """</t>
        </is>
      </c>
    </row>
    <row r="94">
      <c r="A94" s="31" t="inlineStr">
        <is>
          <t>3.2 算法伪代码</t>
        </is>
      </c>
    </row>
    <row r="95" ht="322" customHeight="1">
      <c r="A95" s="34" t="inlineStr">
        <is>
          <t>function score_indicator(kpi_code, current_value, score_rule, score_segments):
    higher_is_better = score_rule.higher_is_better  # 1 or 0
    # 步骤 1: 边界检查
    first_seg = score_segments[0]
    last_seg = score_segments[-1]
    if higher_is_better == 1 and current_value &lt; first_seg.min_value:
        return {score: first_seg.score, segment_desc: first_seg.segment_desc}
    if higher_is_better == 0 and current_value &gt; last_seg.max_value:
        return {score: last_seg.score, segment_desc: last_seg.segment_desc}
    # 步骤 2: 按 seg_order 升序遍历, 找首个满足区间的段位
    for segment in score_segments:  # 已按 seg_order 升序
        if segment.min_value &lt;= current_value &lt;= segment.max_value:
            return {
                'kpi_code': kpi_code,
                'current_value': current_value,
                'score': segment.score,
                'segment_desc': segment.segment_desc,
                'seg_order': segment.seg_order,
            }
    return None  # 找不到匹配段位</t>
        </is>
      </c>
    </row>
    <row r="97" ht="26" customHeight="1">
      <c r="A97" s="29" t="inlineStr">
        <is>
          <t>四、多指标汇总算法 (只求和, 不评级)</t>
        </is>
      </c>
    </row>
    <row r="98">
      <c r="A98" s="31" t="inlineStr">
        <is>
          <t>4.1 函数签名 (Python)</t>
        </is>
      </c>
    </row>
    <row r="99" ht="154" customHeight="1">
      <c r="A99" s="34" t="inlineStr">
        <is>
          <t>def aggregate_scores(scores: List[dict]) -&gt; dict:
    """
    汇总多个指标的总分 (本版不做评级映射)
    Args:
        scores: score_indicator() 返回的 dict 列表
    Returns: dict:
        - total_score: 总分
        - details: 各指标明细
    """</t>
        </is>
      </c>
    </row>
    <row r="101">
      <c r="A101" s="31" t="inlineStr">
        <is>
          <t>4.2 算法伪代码</t>
        </is>
      </c>
    </row>
    <row r="102" ht="154" customHeight="1">
      <c r="A102" s="34" t="inlineStr">
        <is>
          <t>function aggregate_scores(scores):
    total_score = 0
    for s in scores:
        # 默认等权 (权重 = 1, 来自 KpiScoreRule.totalScore)
        total_score += s.score
    return {
        'total_score': total_score,
        'details': scores,
    }</t>
        </is>
      </c>
    </row>
    <row r="104" ht="26" customHeight="1">
      <c r="A104" s="29" t="inlineStr">
        <is>
          <t>五、本次上线 5 指标配置 (prcp 风格)</t>
        </is>
      </c>
    </row>
    <row r="105" ht="32" customHeight="1">
      <c r="A105" s="30" t="inlineStr">
        <is>
          <t>配置通过 prcp 指标方案的内容封装传入工具类, 不内置在本表中.
以下示例展示本次推荐配置的结构.</t>
        </is>
      </c>
    </row>
    <row r="106">
      <c r="A106" s="31" t="inlineStr">
        <is>
          <t>5.1 KpiScheme + KpiDefinition (5 指标)</t>
        </is>
      </c>
    </row>
    <row r="107" ht="224" customHeight="1">
      <c r="A107" s="34" t="inlineStr">
        <is>
          <t>{
    "scheme": {
        "scheme_code": "BANK_SCORE_2025_V1",
        "scheme_name": "中信银行 2025 年度评分方案",
        "description": "LCR/NSFR/EVE/CET1/ROE 5 指标",
        "kpi_count": 5,
        "status": "ACTIVE"
    },
    "definitions": [
        {"kpi_code": "LCR",  "kpi_name": "流动性覆盖率",    "calc_unit": "%"},
        {"kpi_code": "NSFR", "kpi_name": "净稳定资金比例",  "calc_unit": "%"},
        {"kpi_code": "EVE",  "kpi_name": "银行账户利率风险", "calc_unit": "%"},
        {"kpi_code": "CET1", "kpi_name": "核心一级资本充足率", "calc_unit": "%"},
        {"kpi_code": "ROE",  "kpi_name": "净资产收益率",    "calc_unit": "%"},
    ]
}</t>
        </is>
      </c>
    </row>
    <row r="109">
      <c r="A109" s="31" t="inlineStr">
        <is>
          <t>5.2 KpiScoreRule + KpiScoreSegment (LCR 示例)</t>
        </is>
      </c>
    </row>
    <row r="110" ht="294" customHeight="1">
      <c r="A110" s="34" t="inlineStr">
        <is>
          <t>{
    "rule": {
        "scheme_code": "BANK_SCORE_2025_V1",
        "kpi_code": "LCR",
        "rule_name": "LCR 评分规则",
        "calc_method": "INTERVAL",
        "total_score": 100,
        "higher_is_better": 1,
        "description": "LCR 监管底线 120%"
    },
    "segments": [
        {"seg_order": 1,  "min_value": 0.00, "max_value": 1.00, "score": 0,    "segment_desc": "红线 &lt;100%"},
        {"seg_order": 2,  "min_value": 1.00, "max_value": 1.10, "score": -50,  "segment_desc": "贴近本行底线"},
        {"seg_order": 3,  "min_value": 1.10, "max_value": 1.20, "score": -100, "segment_desc": "贴近红线"},
        {"seg_order": 4,  "min_value": 1.20, "max_value": 1.30, "score": 30,   "segment_desc": "危险-重惩罚"},
        {"seg_order": 5,  "min_value": 1.30, "max_value": 1.40, "score": 80,   "segment_desc": "预警-轻惩罚"},
        {"seg_order": 6,  "min_value": 1.40, "max_value": 1.50, "score": 100,  "segment_desc": "⭐适度最优"},
        {"seg_order": 7,  "min_value": 1.50, "max_value": 2.00, "score": 95,   "segment_desc": "略高 资金闲置"},
        {"seg_order": 8,  "min_value": 2.00, "max_value": 9.99, "score": 75,   "segment_desc": "极度过剩"},
    ]
}</t>
        </is>
      </c>
    </row>
    <row r="112">
      <c r="A112" s="31" t="inlineStr">
        <is>
          <t>5.3 KpiValue (5 指标实测值)</t>
        </is>
      </c>
    </row>
    <row r="113" ht="154" customHeight="1">
      <c r="A113" s="34" t="inlineStr">
        <is>
          <t>{
    "data_date": "2025-12-31",
    "version": "BANK_SCORE_2025_V1",
    "values": [
        {"kpi_code": "LCR",  "current_value": 1.4729},   # 147.29%
        {"kpi_code": "NSFR", "current_value": 1.0452},   # 104.52%
        {"kpi_code": "EVE",  "current_value": 0.1054},   # 10.54%
        {"kpi_code": "CET1", "current_value": 0.0898},   # 8.98%
        {"kpi_code": "ROE",  "current_value": 0.0961},   # 9.61%
    ]
}</t>
        </is>
      </c>
    </row>
    <row r="115" ht="26" customHeight="1">
      <c r="A115" s="29" t="inlineStr">
        <is>
          <t>六、Python 接口契约</t>
        </is>
      </c>
    </row>
    <row r="116">
      <c r="A116" s="31" t="inlineStr">
        <is>
          <t>6.1 类结构建议</t>
        </is>
      </c>
    </row>
    <row r="117" ht="252" customHeight="1">
      <c r="A117" s="34" t="inlineStr">
        <is>
          <t>class ScoringEngine:
    """
    打分引擎 (输入: prcp 评分方案内容, 输出: 单指标 score + 总分)
    Attributes:
        scheme: dict (KpiScheme)
        definitions: list[dict] (KpiDefinition × N)
        rules: dict[kpi_code, dict] (KpiScoreRule 按 kpi_code 索引)
        segments: dict[kpi_code, list[dict]] (KpiScoreSegment 按 kpi_code 索引)
    Methods:
        score_indicator(kpi_code, current_value) -&gt; dict
        score_all(kpi_values: dict) -&gt; dict
    """
    def __init__(self, scheme, definitions, rules, segments): ...
    def score_indicator(self, kpi_code, current_value): ...
    def score_all(self, kpi_values: dict): ...</t>
        </is>
      </c>
    </row>
    <row r="119">
      <c r="A119" s="31" t="inlineStr">
        <is>
          <t>6.2 输入输出契约</t>
        </is>
      </c>
    </row>
    <row r="120" ht="546" customHeight="1">
      <c r="A120" s="34" t="inlineStr">
        <is>
          <t>输入 (ScoringEngine.__init__):
    scheme: dict = {
        "scheme_code": "BANK_SCORE_2025_V1",
        "scheme_name": "...",
    }
    definitions: list[dict] = [
        {"kpi_code": "LCR", "kpi_name": "流动性覆盖率", ...},
        ...
    ]
    rules: dict = {
        "LCR": {"kpi_code": "LCR", "higher_is_better": 1, "total_score": 100, ...},
        ...
    }
    segments: dict = {
        "LCR": [{"seg_order": 1, "min_value": 0, "max_value": 1.0, "score": 0, ...}, ...],
        ...
    }
输入 (score_all):
    kpi_values = {
        "kpi_code": "LCR",  "current_value": 1.4729
        "kpi_code": "NSFR", "current_value": 1.0452
        ...
    }
输出 (score_all 返回值):
    {
        "total_score": 413.0,           # 各指标 score 之和
        "details": [
            {
                "kpi_code": "LCR",
                "current_value": 1.4729,
                "score": 100,
                "segment_desc": "⭐适度最优",
                "seg_order": 6,
            },
            ...
        ]
    }</t>
        </is>
      </c>
    </row>
    <row r="122" ht="26" customHeight="1">
      <c r="A122" s="29" t="inlineStr">
        <is>
          <t>七、测试用例</t>
        </is>
      </c>
    </row>
    <row r="123" ht="24" customHeight="1">
      <c r="A123" s="32" t="inlineStr">
        <is>
          <t>测试</t>
        </is>
      </c>
      <c r="B123" s="32" t="inlineStr">
        <is>
          <t>输入</t>
        </is>
      </c>
      <c r="C123" s="32" t="inlineStr">
        <is>
          <t>期望输出</t>
        </is>
      </c>
      <c r="D123" s="32" t="inlineStr">
        <is>
          <t>说明</t>
        </is>
      </c>
    </row>
    <row r="124">
      <c r="A124" s="33" t="inlineStr">
        <is>
          <t>测试</t>
        </is>
      </c>
      <c r="B124" s="33" t="inlineStr">
        <is>
          <t>输入</t>
        </is>
      </c>
      <c r="C124" s="33" t="inlineStr">
        <is>
          <t>期望输出</t>
        </is>
      </c>
      <c r="D124" s="33" t="inlineStr">
        <is>
          <t>说明</t>
        </is>
      </c>
    </row>
    <row r="125">
      <c r="A125" s="33" t="inlineStr">
        <is>
          <t>LCR 适中</t>
        </is>
      </c>
      <c r="B125" s="35" t="inlineStr">
        <is>
          <t>{"kpi_code": "LCR", "current_value": 1.4729}</t>
        </is>
      </c>
      <c r="C125" s="33" t="inlineStr">
        <is>
          <t>score=100</t>
        </is>
      </c>
      <c r="D125" s="33" t="inlineStr">
        <is>
          <t>147.29% 适度最优</t>
        </is>
      </c>
    </row>
    <row r="126">
      <c r="A126" s="33" t="inlineStr">
        <is>
          <t>LCR 红线</t>
        </is>
      </c>
      <c r="B126" s="35" t="inlineStr">
        <is>
          <t>{"kpi_code": "LCR", "current_value": 0.95}</t>
        </is>
      </c>
      <c r="C126" s="33" t="inlineStr">
        <is>
          <t>score=0</t>
        </is>
      </c>
      <c r="D126" s="33" t="inlineStr">
        <is>
          <t>&lt;100% 红线</t>
        </is>
      </c>
    </row>
    <row r="127">
      <c r="A127" s="33" t="inlineStr">
        <is>
          <t>CET1 适中</t>
        </is>
      </c>
      <c r="B127" s="35" t="inlineStr">
        <is>
          <t>{"kpi_code": "CET1", "current_value": 0.095}</t>
        </is>
      </c>
      <c r="C127" s="33" t="inlineStr">
        <is>
          <t>score=100</t>
        </is>
      </c>
      <c r="D127" s="33" t="inlineStr">
        <is>
          <t>9.5% 适度最优</t>
        </is>
      </c>
    </row>
    <row r="128">
      <c r="A128" s="33" t="inlineStr">
        <is>
          <t>CET1 红线</t>
        </is>
      </c>
      <c r="B128" s="35" t="inlineStr">
        <is>
          <t>{"kpi_code": "CET1", "current_value": 0.08}</t>
        </is>
      </c>
      <c r="C128" s="33" t="inlineStr">
        <is>
          <t>score=0</t>
        </is>
      </c>
      <c r="D128" s="33" t="inlineStr">
        <is>
          <t>&lt;8.7% 红线</t>
        </is>
      </c>
    </row>
    <row r="129">
      <c r="A129" s="33" t="inlineStr">
        <is>
          <t>EVE 适中</t>
        </is>
      </c>
      <c r="B129" s="35" t="inlineStr">
        <is>
          <t>{"kpi_code": "EVE", "current_value": 0.07}</t>
        </is>
      </c>
      <c r="C129" s="33" t="inlineStr">
        <is>
          <t>score=96</t>
        </is>
      </c>
      <c r="D129" s="33" t="inlineStr">
        <is>
          <t>7% 适度最优 (越低越好)</t>
        </is>
      </c>
    </row>
    <row r="130">
      <c r="A130" s="33" t="inlineStr">
        <is>
          <t>EVE 危险</t>
        </is>
      </c>
      <c r="B130" s="35" t="inlineStr">
        <is>
          <t>{"kpi_code": "EVE", "current_value": 0.14}</t>
        </is>
      </c>
      <c r="C130" s="33" t="inlineStr">
        <is>
          <t>score=20</t>
        </is>
      </c>
      <c r="D130" s="33" t="inlineStr">
        <is>
          <t>14% 接近红线</t>
        </is>
      </c>
    </row>
    <row r="131">
      <c r="A131" s="33" t="inlineStr">
        <is>
          <t>ROE 红线</t>
        </is>
      </c>
      <c r="B131" s="35" t="inlineStr">
        <is>
          <t>{"kpi_code": "ROE", "current_value": 0.05}</t>
        </is>
      </c>
      <c r="C131" s="33" t="inlineStr">
        <is>
          <t>score=0</t>
        </is>
      </c>
      <c r="D131" s="33" t="inlineStr">
        <is>
          <t>&lt;6% 硬约束</t>
        </is>
      </c>
    </row>
    <row r="132">
      <c r="A132" s="33" t="inlineStr">
        <is>
          <t>ROE 满分</t>
        </is>
      </c>
      <c r="B132" s="35" t="inlineStr">
        <is>
          <t>{"kpi_code": "ROE", "current_value": 0.13}</t>
        </is>
      </c>
      <c r="C132" s="33" t="inlineStr">
        <is>
          <t>score=100</t>
        </is>
      </c>
      <c r="D132" s="33" t="inlineStr">
        <is>
          <t>13% 满分</t>
        </is>
      </c>
    </row>
    <row r="133">
      <c r="A133" s="33" t="inlineStr">
        <is>
          <t>5 指标汇总</t>
        </is>
      </c>
      <c r="B133" s="33" t="inlineStr">
        <is>
          <t>5 指标全在安全区</t>
        </is>
      </c>
      <c r="C133" s="33" t="inlineStr">
        <is>
          <t>total_score = Σscore</t>
        </is>
      </c>
      <c r="D133" s="33" t="inlineStr">
        <is>
          <t>等权相加</t>
        </is>
      </c>
    </row>
    <row r="134">
      <c r="A134" s="33" t="inlineStr">
        <is>
          <t>缺指标</t>
        </is>
      </c>
      <c r="B134" s="33" t="inlineStr">
        <is>
          <t>只传 3 个指标</t>
        </is>
      </c>
      <c r="C134" s="33" t="inlineStr">
        <is>
          <t>默认 0 分或报错</t>
        </is>
      </c>
      <c r="D134" s="33" t="inlineStr">
        <is>
          <t>需明确缺失处理</t>
        </is>
      </c>
    </row>
    <row r="136" ht="26" customHeight="1">
      <c r="A136" s="29" t="inlineStr">
        <is>
          <t>八、注意事项</t>
        </is>
      </c>
    </row>
    <row r="137" ht="18" customHeight="1">
      <c r="A137" s="30" t="inlineStr">
        <is>
          <t>1. 字段命名: 严格使用 prcp_kpi_* 实体字段名 (snake_case), 不创造新字段</t>
        </is>
      </c>
    </row>
    <row r="139" ht="18" customHeight="1">
      <c r="A139" s="30" t="inlineStr">
        <is>
          <t>2. 配置来源: KpiScheme/KpiDefinition/KpiScoreRule/KpiScoreSegment 来自 prcp 指标方案模块, 不内置在工具类</t>
        </is>
      </c>
    </row>
    <row r="141" ht="18" customHeight="1">
      <c r="A141" s="30" t="inlineStr">
        <is>
          <t>3. 权重: 默认 1 (KpiScoreRule.totalScore 即满分, 用于归一化)</t>
        </is>
      </c>
    </row>
    <row r="143" ht="18" customHeight="1">
      <c r="A143" s="30" t="inlineStr">
        <is>
          <t>4. 评级映射: 本版不包含评级 (A+/A/B+/B/C/D), 需要评级可后续扩展</t>
        </is>
      </c>
    </row>
    <row r="145" ht="18" customHeight="1">
      <c r="A145" s="30" t="inlineStr">
        <is>
          <t>5. 段位查找: 按 seg_order 升序遍历, 首个满足 min_value &lt;= value &lt;= max_value 的段位胜出</t>
        </is>
      </c>
    </row>
    <row r="147" ht="18" customHeight="1">
      <c r="A147" s="30" t="inlineStr">
        <is>
          <t>6. 方向处理: KpiScoreRule.higher_is_better = 1/0, 不再使用 direction 字符串</t>
        </is>
      </c>
    </row>
    <row r="149" ht="18" customHeight="1">
      <c r="A149" s="30" t="inlineStr">
        <is>
          <t>7. 缺失指标: 默认 score=0, 或抛出异常 (取决于实现)</t>
        </is>
      </c>
    </row>
    <row r="151" ht="18" customHeight="1">
      <c r="A151" s="30" t="inlineStr">
        <is>
          <t>8. 数据类型: KpiScoreSegment.min_value 是 Decimal, 工具类需支持 Decimal/float</t>
        </is>
      </c>
    </row>
    <row r="153" ht="18" customHeight="1">
      <c r="A153" s="30" t="inlineStr">
        <is>
          <t>9. 异常处理: kpi_code 不存在, value 类型错误, 段位空都需要明确异常</t>
        </is>
      </c>
    </row>
    <row r="155" ht="18" customHeight="1">
      <c r="A155" s="30" t="inlineStr">
        <is>
          <t>10. 性能: 批量计算时建议预处理 segments (按 kpi_code 索引), 避免重复遍历</t>
        </is>
      </c>
    </row>
    <row r="157" ht="26" customHeight="1">
      <c r="A157" s="29" t="inlineStr">
        <is>
          <t>九、参考</t>
        </is>
      </c>
    </row>
    <row r="158" ht="24" customHeight="1">
      <c r="A158" s="32" t="inlineStr">
        <is>
          <t>模块</t>
        </is>
      </c>
      <c r="B158" s="32" t="inlineStr">
        <is>
          <t>prcp-java 实体</t>
        </is>
      </c>
      <c r="C158" s="32" t="inlineStr">
        <is>
          <t>字段命名参考</t>
        </is>
      </c>
    </row>
    <row r="159">
      <c r="A159" s="33" t="inlineStr">
        <is>
          <t>模块</t>
        </is>
      </c>
      <c r="B159" s="33" t="inlineStr">
        <is>
          <t>prcp-java 实体</t>
        </is>
      </c>
      <c r="C159" s="33" t="inlineStr">
        <is>
          <t>字段命名参考</t>
        </is>
      </c>
    </row>
    <row r="160">
      <c r="A160" s="33" t="inlineStr">
        <is>
          <t>指标方案</t>
        </is>
      </c>
      <c r="B160" s="33" t="inlineStr">
        <is>
          <t>com.prcp.business.kpi.entity.KpiScheme</t>
        </is>
      </c>
      <c r="C160" s="33" t="inlineStr">
        <is>
          <t>scheme_code / scheme_name / description / kpi_count / status</t>
        </is>
      </c>
    </row>
    <row r="161">
      <c r="A161" s="33" t="inlineStr">
        <is>
          <t>指标定义</t>
        </is>
      </c>
      <c r="B161" s="33" t="inlineStr">
        <is>
          <t>com.prcp.business.kpi.entity.KpiDefinition</t>
        </is>
      </c>
      <c r="C161" s="33" t="inlineStr">
        <is>
          <t>scheme_id / kpi_code / kpi_name / calc_unit / threshold_min / threshold_max</t>
        </is>
      </c>
    </row>
    <row r="162">
      <c r="A162" s="33" t="inlineStr">
        <is>
          <t>评分规则</t>
        </is>
      </c>
      <c r="B162" s="33" t="inlineStr">
        <is>
          <t>com.prcp.business.kpi.entity.KpiScoreRule</t>
        </is>
      </c>
      <c r="C162" s="33" t="inlineStr">
        <is>
          <t>scheme_id / kpi_id / rule_name / calc_method / total_score / higher_is_better</t>
        </is>
      </c>
    </row>
    <row r="163">
      <c r="A163" s="33" t="inlineStr">
        <is>
          <t>评分段位</t>
        </is>
      </c>
      <c r="B163" s="33" t="inlineStr">
        <is>
          <t>com.prcp.business.kpi.entity.KpiScoreSegment</t>
        </is>
      </c>
      <c r="C163" s="33" t="inlineStr">
        <is>
          <t>rule_id / seg_order / min_value / max_value / score / segment_desc</t>
        </is>
      </c>
    </row>
    <row r="164">
      <c r="A164" s="33" t="inlineStr">
        <is>
          <t>指标值</t>
        </is>
      </c>
      <c r="B164" s="33" t="inlineStr">
        <is>
          <t>com.prcp.business.kpi.entity.KpiValue</t>
        </is>
      </c>
      <c r="C164" s="33" t="inlineStr">
        <is>
          <t>kpi_id / data_date / version / current_value / prev_value / prev_year_value / score</t>
        </is>
      </c>
    </row>
  </sheetData>
  <mergeCells count="59">
    <mergeCell ref="A16:F16"/>
    <mergeCell ref="A99:F99"/>
    <mergeCell ref="A137:F137"/>
    <mergeCell ref="A90:F90"/>
    <mergeCell ref="A120:F120"/>
    <mergeCell ref="A136:F136"/>
    <mergeCell ref="A105:F105"/>
    <mergeCell ref="A149:F149"/>
    <mergeCell ref="A12:F12"/>
    <mergeCell ref="A18:F18"/>
    <mergeCell ref="A145:F145"/>
    <mergeCell ref="A101:F101"/>
    <mergeCell ref="A21:F21"/>
    <mergeCell ref="A139:F139"/>
    <mergeCell ref="A104:F104"/>
    <mergeCell ref="A95:F95"/>
    <mergeCell ref="A113:F113"/>
    <mergeCell ref="A2:F2"/>
    <mergeCell ref="A76:F76"/>
    <mergeCell ref="A151:F151"/>
    <mergeCell ref="A14:F14"/>
    <mergeCell ref="A116:F116"/>
    <mergeCell ref="A5:F5"/>
    <mergeCell ref="A23:F23"/>
    <mergeCell ref="A8:F8"/>
    <mergeCell ref="A106:F106"/>
    <mergeCell ref="A141:F141"/>
    <mergeCell ref="A97:F97"/>
    <mergeCell ref="A17:F17"/>
    <mergeCell ref="A4:F4"/>
    <mergeCell ref="A20:F20"/>
    <mergeCell ref="A122:F122"/>
    <mergeCell ref="A91:F91"/>
    <mergeCell ref="A109:F109"/>
    <mergeCell ref="A147:F147"/>
    <mergeCell ref="A10:F10"/>
    <mergeCell ref="A115:F115"/>
    <mergeCell ref="A112:F112"/>
    <mergeCell ref="A13:F13"/>
    <mergeCell ref="A102:F102"/>
    <mergeCell ref="A117:F117"/>
    <mergeCell ref="A155:F155"/>
    <mergeCell ref="A9:F9"/>
    <mergeCell ref="A143:F143"/>
    <mergeCell ref="A92:F92"/>
    <mergeCell ref="A157:F157"/>
    <mergeCell ref="A15:F15"/>
    <mergeCell ref="A64:F64"/>
    <mergeCell ref="A11:F11"/>
    <mergeCell ref="A51:F51"/>
    <mergeCell ref="A107:F107"/>
    <mergeCell ref="A98:F98"/>
    <mergeCell ref="A36:F36"/>
    <mergeCell ref="A1:F1"/>
    <mergeCell ref="A94:F94"/>
    <mergeCell ref="A110:F110"/>
    <mergeCell ref="A119:F119"/>
    <mergeCell ref="A153:F15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2026-10-10T05:53:00Z</dcterms:created>
  <dcterms:modified xsi:type="dcterms:W3CDTF">2026-10-12T00:50:06Z</dcterms:modified>
  <cp:lastModifiedBy>张行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C9FC32257FA941C785013F433A26D7A0_12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