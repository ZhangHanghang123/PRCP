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7092\Desktop\CiticB\v3\v3\"/>
    </mc:Choice>
  </mc:AlternateContent>
  <xr:revisionPtr revIDLastSave="0" documentId="13_ncr:1_{5BF14786-FCEC-4631-A920-A8A24C98886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OE项目明细" sheetId="1" r:id="rId1"/>
    <sheet name="ROE计算" sheetId="2" r:id="rId2"/>
  </sheets>
  <calcPr calcId="191029"/>
</workbook>
</file>

<file path=xl/calcChain.xml><?xml version="1.0" encoding="utf-8"?>
<calcChain xmlns="http://schemas.openxmlformats.org/spreadsheetml/2006/main">
  <c r="B9" i="2" l="1"/>
  <c r="B13" i="2" s="1"/>
  <c r="B3" i="2"/>
  <c r="G66" i="1" l="1"/>
  <c r="G69" i="1"/>
  <c r="G63" i="1"/>
  <c r="G65" i="1"/>
  <c r="G62" i="1"/>
  <c r="G60" i="1"/>
  <c r="G67" i="1"/>
  <c r="G68" i="1"/>
  <c r="G61" i="1"/>
</calcChain>
</file>

<file path=xl/sharedStrings.xml><?xml version="1.0" encoding="utf-8"?>
<sst xmlns="http://schemas.openxmlformats.org/spreadsheetml/2006/main" count="381" uniqueCount="169">
  <si>
    <t>项目序号</t>
  </si>
  <si>
    <t>项目名称</t>
  </si>
  <si>
    <t>是否末级节点</t>
  </si>
  <si>
    <t>当前余额（人民币元）</t>
  </si>
  <si>
    <t>是否计入净利润</t>
  </si>
  <si>
    <t>净利润符号</t>
  </si>
  <si>
    <t>净利润贡献</t>
  </si>
  <si>
    <t>是否计入净资产</t>
  </si>
  <si>
    <t>净资产符号</t>
  </si>
  <si>
    <t>净资产贡献</t>
  </si>
  <si>
    <t>ROE 规则说明</t>
  </si>
  <si>
    <t>S010000000000</t>
  </si>
  <si>
    <t>总资产</t>
  </si>
  <si>
    <t>否</t>
  </si>
  <si>
    <t>-</t>
  </si>
  <si>
    <t>S010100000000</t>
  </si>
  <si>
    <t>（一）人民币小计</t>
  </si>
  <si>
    <t>S010101000000</t>
  </si>
  <si>
    <t>1.境内人民币各项贷款</t>
  </si>
  <si>
    <t>S010101010000</t>
  </si>
  <si>
    <t>1.1.对公一般贷款</t>
  </si>
  <si>
    <t>是</t>
  </si>
  <si>
    <t>S010101020000</t>
  </si>
  <si>
    <t>1.2.个人贷款</t>
  </si>
  <si>
    <t>S010101030000</t>
  </si>
  <si>
    <t>1.3.信用卡贷款</t>
  </si>
  <si>
    <t>S010101040000</t>
  </si>
  <si>
    <t>1.4.票据贴现</t>
  </si>
  <si>
    <t>S010101050000</t>
  </si>
  <si>
    <t>1.5.非银贷款</t>
  </si>
  <si>
    <t>S010102000000</t>
  </si>
  <si>
    <t>2.人民币非信贷类业务</t>
  </si>
  <si>
    <t>S010102010000</t>
  </si>
  <si>
    <t>2.1.债券投资</t>
  </si>
  <si>
    <t>S010102010100</t>
  </si>
  <si>
    <t>2.1.1金市自营债券</t>
  </si>
  <si>
    <t>S010102010101</t>
  </si>
  <si>
    <t>2.1.1.1AC</t>
  </si>
  <si>
    <t>S010102010102</t>
  </si>
  <si>
    <t>2.1.1.2FVOCI</t>
  </si>
  <si>
    <t>S010102010103</t>
  </si>
  <si>
    <t>2.1.1.3FVTPL</t>
  </si>
  <si>
    <t>S010102010200</t>
  </si>
  <si>
    <t>2.1.2司库债券</t>
  </si>
  <si>
    <t>S010102010201</t>
  </si>
  <si>
    <t>2.1.2.1AC</t>
  </si>
  <si>
    <t>S010102010202</t>
  </si>
  <si>
    <t>2.1.2.2FVOCI</t>
  </si>
  <si>
    <t>S010102010203</t>
  </si>
  <si>
    <t>2.1.2.3FVTPL</t>
  </si>
  <si>
    <t>S010102020000</t>
  </si>
  <si>
    <t>2.2.结构化融资</t>
  </si>
  <si>
    <t>S010102030000</t>
  </si>
  <si>
    <t>2.3.同业资产（不含拆放非银）</t>
  </si>
  <si>
    <t>S010102040000</t>
  </si>
  <si>
    <t>2.4.存款准备金</t>
  </si>
  <si>
    <t>S010103000000</t>
  </si>
  <si>
    <t>3.人民币非生息资产</t>
  </si>
  <si>
    <t>S010103010000</t>
  </si>
  <si>
    <t>3.1.FVTPL类资产</t>
  </si>
  <si>
    <t>S010103020000</t>
  </si>
  <si>
    <t>3.2.其他非生息资产</t>
  </si>
  <si>
    <t>S010103020100</t>
  </si>
  <si>
    <t>3.2.1. 其中：现金</t>
  </si>
  <si>
    <t>S010103020200</t>
  </si>
  <si>
    <t>3.2.2. 其中：其它</t>
  </si>
  <si>
    <t>S010200000000</t>
  </si>
  <si>
    <t>（二）外币小计（人民币）</t>
  </si>
  <si>
    <t>S010201000000</t>
  </si>
  <si>
    <t>1.外币贷款</t>
  </si>
  <si>
    <t>S010202000000</t>
  </si>
  <si>
    <t>2.外币非信贷资产</t>
  </si>
  <si>
    <t>S010202010000</t>
  </si>
  <si>
    <t>2.1.外币债券</t>
  </si>
  <si>
    <t>S010202020000</t>
  </si>
  <si>
    <t>2.2.同业资产</t>
  </si>
  <si>
    <t>S010203000000</t>
  </si>
  <si>
    <t>3.外币非生息资产</t>
  </si>
  <si>
    <t>S020000000000</t>
  </si>
  <si>
    <t>总负债</t>
  </si>
  <si>
    <t>S020100000000</t>
  </si>
  <si>
    <t>S020101000000</t>
  </si>
  <si>
    <t>1.境内人民币自营存款</t>
  </si>
  <si>
    <t>S020101010000</t>
  </si>
  <si>
    <t>1.1.对公存款</t>
  </si>
  <si>
    <t>S020101010100</t>
  </si>
  <si>
    <t>1.1.1对公活期存款</t>
  </si>
  <si>
    <t>S020101010200</t>
  </si>
  <si>
    <t>1.1.2对公定期存款</t>
  </si>
  <si>
    <t>S020101020000</t>
  </si>
  <si>
    <t>1.2.零售存款</t>
  </si>
  <si>
    <t>S020101020100</t>
  </si>
  <si>
    <t>1.2.1零售活期存款</t>
  </si>
  <si>
    <t>S020101020200</t>
  </si>
  <si>
    <t>1.2.2零售定期存款</t>
  </si>
  <si>
    <t>S020102000000</t>
  </si>
  <si>
    <t>2.人民币市场化负债</t>
  </si>
  <si>
    <t>S020102010000</t>
  </si>
  <si>
    <t>2.2.1同业负债</t>
  </si>
  <si>
    <t>S020102010100</t>
  </si>
  <si>
    <t>2.2.1.1货币市场同业拆入</t>
  </si>
  <si>
    <t>S020102010200</t>
  </si>
  <si>
    <t>2.2.1.2货币市场债券回购</t>
  </si>
  <si>
    <t>S020102010300</t>
  </si>
  <si>
    <t>2.2.1.3同业存单（NCD）</t>
  </si>
  <si>
    <t>S020102010400</t>
  </si>
  <si>
    <t>2.2.1.4同业存款</t>
  </si>
  <si>
    <t>S020102010500</t>
  </si>
  <si>
    <t>2.2.1.5票据转贴现回购</t>
  </si>
  <si>
    <t>S020102020000</t>
  </si>
  <si>
    <t>2.2.2央行借款</t>
  </si>
  <si>
    <t>S020102020100</t>
  </si>
  <si>
    <t>2.2.2.1公开市场回购</t>
  </si>
  <si>
    <t>S020102020200</t>
  </si>
  <si>
    <t>2.2.2.2中期借贷便利（MLF）</t>
  </si>
  <si>
    <t>S020102020300</t>
  </si>
  <si>
    <t>2.2.2.3结构性货币政策工具</t>
  </si>
  <si>
    <t>S020102020400</t>
  </si>
  <si>
    <t>2.2.2.4票据再贴现回购</t>
  </si>
  <si>
    <t>S020200000000</t>
  </si>
  <si>
    <t>S020201000000</t>
  </si>
  <si>
    <t>1.外币存款</t>
  </si>
  <si>
    <t>S020202000000</t>
  </si>
  <si>
    <t>2.外币市场化负债</t>
  </si>
  <si>
    <t>S030000000000</t>
  </si>
  <si>
    <t>所有者权益</t>
  </si>
  <si>
    <t>S040000000000</t>
  </si>
  <si>
    <t>【一】营业收入</t>
  </si>
  <si>
    <t>S040101000000</t>
  </si>
  <si>
    <t>1.利息净收入</t>
  </si>
  <si>
    <t>利息净收入 计入净利润 +1</t>
  </si>
  <si>
    <t>S040102000000</t>
  </si>
  <si>
    <t>2.手续费及佣金净收入</t>
  </si>
  <si>
    <t>手续费及佣金净收入 计入净利润 +1</t>
  </si>
  <si>
    <t>S040103000000</t>
  </si>
  <si>
    <t>3.投资收益</t>
  </si>
  <si>
    <t>投资收益 计入净利润 +1</t>
  </si>
  <si>
    <t>S040104000000</t>
  </si>
  <si>
    <t>4.其他业务收入</t>
  </si>
  <si>
    <t>其他业务收入 计入净利润 +1</t>
  </si>
  <si>
    <t>S040200000000</t>
  </si>
  <si>
    <t>【二】营业支出</t>
  </si>
  <si>
    <t>【二】营业支出 汇总节点（不直接计入）</t>
  </si>
  <si>
    <t>S040201000000</t>
  </si>
  <si>
    <t>1.业务及管理费</t>
  </si>
  <si>
    <t>业务及管理费 计入净利润 -1</t>
  </si>
  <si>
    <t>S040202000000</t>
  </si>
  <si>
    <t>2.资产减值损失</t>
  </si>
  <si>
    <t>资产减值损失 计入净利润 -1</t>
  </si>
  <si>
    <t>S040203000000</t>
  </si>
  <si>
    <t>3.其他业务支出</t>
  </si>
  <si>
    <t>其他业务支出 计入净利润 -1</t>
  </si>
  <si>
    <t>S040300000000</t>
  </si>
  <si>
    <t>【三】营业外收支净额</t>
  </si>
  <si>
    <t>营业外收支净额 计入净利润 +1</t>
  </si>
  <si>
    <t>S040400000000</t>
  </si>
  <si>
    <t>【四】所得税</t>
  </si>
  <si>
    <t>所得税 计入净利润 -1</t>
  </si>
  <si>
    <t>净资产收益率（ROE）计量</t>
  </si>
  <si>
    <t>监管阈值</t>
  </si>
  <si>
    <t xml:space="preserve">  是否达标</t>
  </si>
  <si>
    <t>【八】净资产收益率 ROE</t>
    <phoneticPr fontId="7" type="noConversion"/>
  </si>
  <si>
    <r>
      <t xml:space="preserve">  ROE=（E</t>
    </r>
    <r>
      <rPr>
        <b/>
        <vertAlign val="subscript"/>
        <sz val="11"/>
        <color rgb="FFC00000"/>
        <rFont val="Microsoft YaHei"/>
        <family val="2"/>
        <charset val="134"/>
      </rPr>
      <t>t</t>
    </r>
    <r>
      <rPr>
        <b/>
        <sz val="11"/>
        <color rgb="FFC00000"/>
        <rFont val="Microsoft YaHei"/>
        <family val="2"/>
        <charset val="134"/>
      </rPr>
      <t>-E</t>
    </r>
    <r>
      <rPr>
        <b/>
        <vertAlign val="subscript"/>
        <sz val="11"/>
        <color rgb="FFC00000"/>
        <rFont val="Microsoft YaHei"/>
        <family val="2"/>
        <charset val="134"/>
      </rPr>
      <t>t-1</t>
    </r>
    <r>
      <rPr>
        <b/>
        <sz val="11"/>
        <color rgb="FFC00000"/>
        <rFont val="Microsoft YaHei"/>
        <family val="2"/>
        <charset val="134"/>
      </rPr>
      <t>) / E</t>
    </r>
    <r>
      <rPr>
        <b/>
        <vertAlign val="subscript"/>
        <sz val="11"/>
        <color rgb="FFC00000"/>
        <rFont val="Microsoft YaHei"/>
        <family val="2"/>
        <charset val="134"/>
      </rPr>
      <t>t</t>
    </r>
    <r>
      <rPr>
        <b/>
        <sz val="11"/>
        <color rgb="FFC00000"/>
        <rFont val="Microsoft YaHei"/>
        <family val="2"/>
        <charset val="134"/>
      </rPr>
      <t>-1</t>
    </r>
    <phoneticPr fontId="7" type="noConversion"/>
  </si>
  <si>
    <r>
      <t xml:space="preserve">  E</t>
    </r>
    <r>
      <rPr>
        <b/>
        <vertAlign val="subscript"/>
        <sz val="11"/>
        <color rgb="FFC00000"/>
        <rFont val="Microsoft YaHei"/>
        <family val="2"/>
        <charset val="134"/>
      </rPr>
      <t>t</t>
    </r>
    <phoneticPr fontId="7" type="noConversion"/>
  </si>
  <si>
    <r>
      <t>【一】本期末所有者权益E</t>
    </r>
    <r>
      <rPr>
        <b/>
        <vertAlign val="subscript"/>
        <sz val="10"/>
        <color rgb="FF1F4E78"/>
        <rFont val="Microsoft YaHei"/>
        <family val="2"/>
        <charset val="134"/>
      </rPr>
      <t>t</t>
    </r>
    <phoneticPr fontId="7" type="noConversion"/>
  </si>
  <si>
    <r>
      <t>【二】上期（去年同期）末所有者权益E</t>
    </r>
    <r>
      <rPr>
        <b/>
        <vertAlign val="subscript"/>
        <sz val="10"/>
        <color rgb="FF1F4E78"/>
        <rFont val="Microsoft YaHei"/>
        <family val="2"/>
        <charset val="134"/>
      </rPr>
      <t>t-1</t>
    </r>
    <phoneticPr fontId="7" type="noConversion"/>
  </si>
  <si>
    <r>
      <t xml:space="preserve">  E</t>
    </r>
    <r>
      <rPr>
        <b/>
        <vertAlign val="subscript"/>
        <sz val="11"/>
        <color rgb="FFC00000"/>
        <rFont val="Microsoft YaHei"/>
        <family val="2"/>
        <charset val="134"/>
      </rPr>
      <t>t-1</t>
    </r>
    <phoneticPr fontId="7" type="noConversion"/>
  </si>
  <si>
    <t xml:space="preserve">  商业银行 ROE 合理区间（≥ ）</t>
    <phoneticPr fontId="7" type="noConversion"/>
  </si>
  <si>
    <t>备注：t0时时已知输入，t0之后每次取去年同期值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</si>
</sst>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%"/>
  </numFmts>
  <fonts count="10">
    <font>
      <sz val="11"/>
      <color theme="1"/>
      <name val="宋体"/>
      <family val="2"/>
      <scheme val="minor"/>
    </font>
    <font>
      <b/>
      <sz val="10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b/>
      <sz val="10"/>
      <color rgb="FF1F4E78"/>
      <name val="Microsoft YaHei"/>
      <family val="2"/>
      <charset val="134"/>
    </font>
    <font>
      <b/>
      <sz val="12"/>
      <color rgb="FF1F4E78"/>
      <name val="Microsoft YaHei"/>
      <family val="2"/>
      <charset val="134"/>
    </font>
    <font>
      <b/>
      <sz val="11"/>
      <color rgb="FFC00000"/>
      <name val="Microsoft YaHei"/>
      <family val="2"/>
      <charset val="134"/>
    </font>
    <font>
      <b/>
      <sz val="12"/>
      <color rgb="FFC00000"/>
      <name val="Microsoft YaHei"/>
      <family val="2"/>
      <charset val="134"/>
    </font>
    <font>
      <sz val="9"/>
      <name val="宋体"/>
      <family val="3"/>
      <charset val="134"/>
      <scheme val="minor"/>
    </font>
    <font>
      <b/>
      <vertAlign val="subscript"/>
      <sz val="11"/>
      <color rgb="FFC00000"/>
      <name val="Microsoft YaHei"/>
      <family val="2"/>
      <charset val="134"/>
    </font>
    <font>
      <b/>
      <vertAlign val="subscript"/>
      <sz val="10"/>
      <color rgb="FF1F4E78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E7F0FA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40" fontId="2" fillId="0" borderId="0" xfId="0" applyNumberFormat="1" applyFont="1"/>
    <xf numFmtId="0" fontId="2" fillId="4" borderId="0" xfId="0" applyFont="1" applyFill="1"/>
    <xf numFmtId="0" fontId="2" fillId="4" borderId="0" xfId="0" applyFont="1" applyFill="1" applyAlignment="1">
      <alignment horizontal="center" vertical="center" wrapText="1"/>
    </xf>
    <xf numFmtId="40" fontId="2" fillId="4" borderId="0" xfId="0" applyNumberFormat="1" applyFont="1" applyFill="1"/>
    <xf numFmtId="0" fontId="0" fillId="4" borderId="0" xfId="0" applyFill="1"/>
    <xf numFmtId="40" fontId="3" fillId="4" borderId="0" xfId="0" applyNumberFormat="1" applyFont="1" applyFill="1"/>
    <xf numFmtId="40" fontId="3" fillId="3" borderId="0" xfId="0" applyNumberFormat="1" applyFont="1" applyFill="1"/>
    <xf numFmtId="0" fontId="5" fillId="3" borderId="0" xfId="0" applyFont="1" applyFill="1"/>
    <xf numFmtId="40" fontId="5" fillId="3" borderId="0" xfId="0" applyNumberFormat="1" applyFont="1" applyFill="1"/>
    <xf numFmtId="176" fontId="6" fillId="3" borderId="0" xfId="0" applyNumberFormat="1" applyFont="1" applyFill="1"/>
    <xf numFmtId="0" fontId="0" fillId="0" borderId="0" xfId="0" applyAlignment="1">
      <alignment horizontal="center" vertical="center" wrapText="1"/>
    </xf>
    <xf numFmtId="9" fontId="0" fillId="0" borderId="0" xfId="0" applyNumberFormat="1"/>
    <xf numFmtId="0" fontId="3" fillId="5" borderId="0" xfId="0" applyFont="1" applyFill="1"/>
    <xf numFmtId="0" fontId="0" fillId="0" borderId="0" xfId="0"/>
    <xf numFmtId="0" fontId="4" fillId="0" borderId="0" xfId="0" applyFont="1" applyAlignment="1">
      <alignment horizontal="center" vertical="center" wrapText="1"/>
    </xf>
    <xf numFmtId="0" fontId="3" fillId="3" borderId="0" xfId="0" applyFont="1" applyFill="1"/>
    <xf numFmtId="0" fontId="6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"/>
  <sheetViews>
    <sheetView workbookViewId="0">
      <selection activeCell="B76" sqref="B76"/>
    </sheetView>
  </sheetViews>
  <sheetFormatPr defaultRowHeight="14.4"/>
  <cols>
    <col min="1" max="1" width="18" customWidth="1"/>
    <col min="2" max="2" width="35" customWidth="1"/>
    <col min="3" max="3" width="10" customWidth="1"/>
    <col min="4" max="4" width="22" customWidth="1"/>
    <col min="5" max="5" width="14" customWidth="1"/>
    <col min="6" max="6" width="10" customWidth="1"/>
    <col min="7" max="7" width="22" customWidth="1"/>
    <col min="8" max="8" width="14" customWidth="1"/>
    <col min="9" max="9" width="10" customWidth="1"/>
    <col min="10" max="10" width="22" customWidth="1"/>
    <col min="11" max="11" width="35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ht="15.6">
      <c r="A2" s="2" t="s">
        <v>11</v>
      </c>
      <c r="B2" s="2" t="s">
        <v>12</v>
      </c>
      <c r="C2" s="3" t="s">
        <v>13</v>
      </c>
      <c r="D2" s="4"/>
      <c r="E2" s="3"/>
      <c r="F2" s="3" t="s">
        <v>14</v>
      </c>
      <c r="G2" s="4">
        <v>0</v>
      </c>
      <c r="I2" s="3"/>
      <c r="J2" s="3" t="s">
        <v>14</v>
      </c>
      <c r="K2" s="4">
        <v>0</v>
      </c>
      <c r="L2" s="2"/>
    </row>
    <row r="3" spans="1:12" ht="15.6">
      <c r="A3" s="2" t="s">
        <v>15</v>
      </c>
      <c r="B3" s="2" t="s">
        <v>16</v>
      </c>
      <c r="C3" s="3" t="s">
        <v>13</v>
      </c>
      <c r="D3" s="4"/>
      <c r="E3" s="3"/>
      <c r="F3" s="3" t="s">
        <v>14</v>
      </c>
      <c r="G3" s="4">
        <v>0</v>
      </c>
      <c r="I3" s="3"/>
      <c r="J3" s="3" t="s">
        <v>14</v>
      </c>
      <c r="K3" s="4">
        <v>0</v>
      </c>
      <c r="L3" s="2"/>
    </row>
    <row r="4" spans="1:12" ht="15.6">
      <c r="A4" s="2" t="s">
        <v>17</v>
      </c>
      <c r="B4" s="2" t="s">
        <v>18</v>
      </c>
      <c r="C4" s="3" t="s">
        <v>13</v>
      </c>
      <c r="D4" s="4">
        <v>8380847647531.7402</v>
      </c>
      <c r="E4" s="3"/>
      <c r="F4" s="3" t="s">
        <v>14</v>
      </c>
      <c r="G4" s="4">
        <v>0</v>
      </c>
      <c r="I4" s="3"/>
      <c r="J4" s="3" t="s">
        <v>14</v>
      </c>
      <c r="K4" s="4">
        <v>0</v>
      </c>
      <c r="L4" s="2"/>
    </row>
    <row r="5" spans="1:12" ht="15.6">
      <c r="A5" s="2" t="s">
        <v>19</v>
      </c>
      <c r="B5" s="2" t="s">
        <v>20</v>
      </c>
      <c r="C5" s="3" t="s">
        <v>21</v>
      </c>
      <c r="D5" s="4">
        <v>2945272044075.9399</v>
      </c>
      <c r="E5" s="3"/>
      <c r="F5" s="3" t="s">
        <v>14</v>
      </c>
      <c r="G5" s="4">
        <v>0</v>
      </c>
      <c r="I5" s="3"/>
      <c r="J5" s="3" t="s">
        <v>14</v>
      </c>
      <c r="K5" s="4">
        <v>0</v>
      </c>
      <c r="L5" s="2"/>
    </row>
    <row r="6" spans="1:12" ht="15.6">
      <c r="A6" s="2" t="s">
        <v>22</v>
      </c>
      <c r="B6" s="2" t="s">
        <v>23</v>
      </c>
      <c r="C6" s="3" t="s">
        <v>21</v>
      </c>
      <c r="D6" s="4">
        <v>1828186569200.79</v>
      </c>
      <c r="E6" s="3"/>
      <c r="F6" s="3" t="s">
        <v>14</v>
      </c>
      <c r="G6" s="4">
        <v>0</v>
      </c>
      <c r="I6" s="3"/>
      <c r="J6" s="3" t="s">
        <v>14</v>
      </c>
      <c r="K6" s="4">
        <v>0</v>
      </c>
      <c r="L6" s="2"/>
    </row>
    <row r="7" spans="1:12" ht="15.6">
      <c r="A7" s="2" t="s">
        <v>24</v>
      </c>
      <c r="B7" s="2" t="s">
        <v>25</v>
      </c>
      <c r="C7" s="3" t="s">
        <v>21</v>
      </c>
      <c r="D7" s="4">
        <v>444525501384.64001</v>
      </c>
      <c r="E7" s="3"/>
      <c r="F7" s="3" t="s">
        <v>14</v>
      </c>
      <c r="G7" s="4">
        <v>0</v>
      </c>
      <c r="I7" s="3"/>
      <c r="J7" s="3" t="s">
        <v>14</v>
      </c>
      <c r="K7" s="4">
        <v>0</v>
      </c>
      <c r="L7" s="2"/>
    </row>
    <row r="8" spans="1:12" ht="15.6">
      <c r="A8" s="2" t="s">
        <v>26</v>
      </c>
      <c r="B8" s="2" t="s">
        <v>27</v>
      </c>
      <c r="C8" s="3" t="s">
        <v>21</v>
      </c>
      <c r="D8" s="4">
        <v>201340076281.32001</v>
      </c>
      <c r="E8" s="3"/>
      <c r="F8" s="3" t="s">
        <v>14</v>
      </c>
      <c r="G8" s="4">
        <v>0</v>
      </c>
      <c r="I8" s="3"/>
      <c r="J8" s="3" t="s">
        <v>14</v>
      </c>
      <c r="K8" s="4">
        <v>0</v>
      </c>
      <c r="L8" s="2"/>
    </row>
    <row r="9" spans="1:12" ht="15.6">
      <c r="A9" s="2" t="s">
        <v>28</v>
      </c>
      <c r="B9" s="2" t="s">
        <v>29</v>
      </c>
      <c r="C9" s="3" t="s">
        <v>21</v>
      </c>
      <c r="D9" s="4">
        <v>348478250000</v>
      </c>
      <c r="E9" s="3"/>
      <c r="F9" s="3" t="s">
        <v>14</v>
      </c>
      <c r="G9" s="4">
        <v>0</v>
      </c>
      <c r="I9" s="3"/>
      <c r="J9" s="3" t="s">
        <v>14</v>
      </c>
      <c r="K9" s="4">
        <v>0</v>
      </c>
      <c r="L9" s="2"/>
    </row>
    <row r="10" spans="1:12" ht="15.6">
      <c r="A10" s="2" t="s">
        <v>30</v>
      </c>
      <c r="B10" s="2" t="s">
        <v>31</v>
      </c>
      <c r="C10" s="3" t="s">
        <v>13</v>
      </c>
      <c r="D10" s="4">
        <v>2613045206589.0498</v>
      </c>
      <c r="E10" s="3"/>
      <c r="F10" s="3" t="s">
        <v>14</v>
      </c>
      <c r="G10" s="4">
        <v>0</v>
      </c>
      <c r="I10" s="3"/>
      <c r="J10" s="3" t="s">
        <v>14</v>
      </c>
      <c r="K10" s="4">
        <v>0</v>
      </c>
      <c r="L10" s="2"/>
    </row>
    <row r="11" spans="1:12" ht="15.6">
      <c r="A11" s="2" t="s">
        <v>32</v>
      </c>
      <c r="B11" s="2" t="s">
        <v>33</v>
      </c>
      <c r="C11" s="3" t="s">
        <v>13</v>
      </c>
      <c r="D11" s="4">
        <v>1794400523623.6399</v>
      </c>
      <c r="E11" s="3"/>
      <c r="F11" s="3" t="s">
        <v>14</v>
      </c>
      <c r="G11" s="4">
        <v>0</v>
      </c>
      <c r="I11" s="3"/>
      <c r="J11" s="3" t="s">
        <v>14</v>
      </c>
      <c r="K11" s="4">
        <v>0</v>
      </c>
      <c r="L11" s="2"/>
    </row>
    <row r="12" spans="1:12" ht="15.6">
      <c r="A12" s="2" t="s">
        <v>34</v>
      </c>
      <c r="B12" s="2" t="s">
        <v>35</v>
      </c>
      <c r="C12" s="3" t="s">
        <v>13</v>
      </c>
      <c r="D12" s="4">
        <v>1184382566128.6299</v>
      </c>
      <c r="E12" s="3"/>
      <c r="F12" s="3" t="s">
        <v>14</v>
      </c>
      <c r="G12" s="4">
        <v>0</v>
      </c>
      <c r="I12" s="3"/>
      <c r="J12" s="3" t="s">
        <v>14</v>
      </c>
      <c r="K12" s="4">
        <v>0</v>
      </c>
      <c r="L12" s="2"/>
    </row>
    <row r="13" spans="1:12" ht="15.6">
      <c r="A13" s="2" t="s">
        <v>36</v>
      </c>
      <c r="B13" s="2" t="s">
        <v>37</v>
      </c>
      <c r="C13" s="3" t="s">
        <v>21</v>
      </c>
      <c r="D13" s="4">
        <v>543980069724.63</v>
      </c>
      <c r="E13" s="3"/>
      <c r="F13" s="3" t="s">
        <v>14</v>
      </c>
      <c r="G13" s="4">
        <v>0</v>
      </c>
      <c r="I13" s="3"/>
      <c r="J13" s="3" t="s">
        <v>14</v>
      </c>
      <c r="K13" s="4">
        <v>0</v>
      </c>
      <c r="L13" s="2"/>
    </row>
    <row r="14" spans="1:12" ht="15.6">
      <c r="A14" s="2" t="s">
        <v>38</v>
      </c>
      <c r="B14" s="2" t="s">
        <v>39</v>
      </c>
      <c r="C14" s="3" t="s">
        <v>21</v>
      </c>
      <c r="D14" s="4">
        <v>640402496404</v>
      </c>
      <c r="E14" s="3"/>
      <c r="F14" s="3" t="s">
        <v>14</v>
      </c>
      <c r="G14" s="4">
        <v>0</v>
      </c>
      <c r="I14" s="3"/>
      <c r="J14" s="3" t="s">
        <v>14</v>
      </c>
      <c r="K14" s="4">
        <v>0</v>
      </c>
      <c r="L14" s="2"/>
    </row>
    <row r="15" spans="1:12" ht="15.6">
      <c r="A15" s="2" t="s">
        <v>40</v>
      </c>
      <c r="B15" s="2" t="s">
        <v>41</v>
      </c>
      <c r="C15" s="3" t="s">
        <v>21</v>
      </c>
      <c r="D15" s="4">
        <v>50000000000</v>
      </c>
      <c r="E15" s="3"/>
      <c r="F15" s="3" t="s">
        <v>14</v>
      </c>
      <c r="G15" s="4">
        <v>0</v>
      </c>
      <c r="I15" s="3"/>
      <c r="J15" s="3" t="s">
        <v>14</v>
      </c>
      <c r="K15" s="4">
        <v>0</v>
      </c>
      <c r="L15" s="2"/>
    </row>
    <row r="16" spans="1:12" ht="15.6">
      <c r="A16" s="2" t="s">
        <v>42</v>
      </c>
      <c r="B16" s="2" t="s">
        <v>43</v>
      </c>
      <c r="C16" s="3" t="s">
        <v>21</v>
      </c>
      <c r="D16" s="4">
        <v>610017957495.01001</v>
      </c>
      <c r="E16" s="3"/>
      <c r="F16" s="3" t="s">
        <v>14</v>
      </c>
      <c r="G16" s="4">
        <v>0</v>
      </c>
      <c r="I16" s="3"/>
      <c r="J16" s="3" t="s">
        <v>14</v>
      </c>
      <c r="K16" s="4">
        <v>0</v>
      </c>
      <c r="L16" s="2"/>
    </row>
    <row r="17" spans="1:12" ht="15.6">
      <c r="A17" s="2" t="s">
        <v>44</v>
      </c>
      <c r="B17" s="2" t="s">
        <v>45</v>
      </c>
      <c r="C17" s="3" t="s">
        <v>21</v>
      </c>
      <c r="D17" s="4">
        <v>566351367717.5</v>
      </c>
      <c r="E17" s="3"/>
      <c r="F17" s="3" t="s">
        <v>14</v>
      </c>
      <c r="G17" s="4">
        <v>0</v>
      </c>
      <c r="I17" s="3"/>
      <c r="J17" s="3" t="s">
        <v>14</v>
      </c>
      <c r="K17" s="4">
        <v>0</v>
      </c>
      <c r="L17" s="2"/>
    </row>
    <row r="18" spans="1:12" ht="15.6">
      <c r="A18" s="2" t="s">
        <v>46</v>
      </c>
      <c r="B18" s="2" t="s">
        <v>47</v>
      </c>
      <c r="C18" s="3" t="s">
        <v>21</v>
      </c>
      <c r="D18" s="4">
        <v>43666589777.510002</v>
      </c>
      <c r="E18" s="3"/>
      <c r="F18" s="3" t="s">
        <v>14</v>
      </c>
      <c r="G18" s="4">
        <v>0</v>
      </c>
      <c r="I18" s="3"/>
      <c r="J18" s="3" t="s">
        <v>14</v>
      </c>
      <c r="K18" s="4">
        <v>0</v>
      </c>
      <c r="L18" s="2"/>
    </row>
    <row r="19" spans="1:12" ht="15.6">
      <c r="A19" s="2" t="s">
        <v>48</v>
      </c>
      <c r="B19" s="2" t="s">
        <v>49</v>
      </c>
      <c r="C19" s="3" t="s">
        <v>21</v>
      </c>
      <c r="D19" s="4">
        <v>30000000000</v>
      </c>
      <c r="E19" s="3"/>
      <c r="F19" s="3" t="s">
        <v>14</v>
      </c>
      <c r="G19" s="4">
        <v>0</v>
      </c>
      <c r="I19" s="3"/>
      <c r="J19" s="3" t="s">
        <v>14</v>
      </c>
      <c r="K19" s="4">
        <v>0</v>
      </c>
      <c r="L19" s="2"/>
    </row>
    <row r="20" spans="1:12" ht="15.6">
      <c r="A20" s="2" t="s">
        <v>50</v>
      </c>
      <c r="B20" s="2" t="s">
        <v>51</v>
      </c>
      <c r="C20" s="3" t="s">
        <v>21</v>
      </c>
      <c r="D20" s="4">
        <v>205172333337.51999</v>
      </c>
      <c r="E20" s="3"/>
      <c r="F20" s="3" t="s">
        <v>14</v>
      </c>
      <c r="G20" s="4">
        <v>0</v>
      </c>
      <c r="I20" s="3"/>
      <c r="J20" s="3" t="s">
        <v>14</v>
      </c>
      <c r="K20" s="4">
        <v>0</v>
      </c>
      <c r="L20" s="2"/>
    </row>
    <row r="21" spans="1:12" ht="15.6">
      <c r="A21" s="2" t="s">
        <v>52</v>
      </c>
      <c r="B21" s="2" t="s">
        <v>53</v>
      </c>
      <c r="C21" s="3" t="s">
        <v>21</v>
      </c>
      <c r="D21" s="4">
        <v>248117663093.32999</v>
      </c>
      <c r="E21" s="3"/>
      <c r="F21" s="3" t="s">
        <v>14</v>
      </c>
      <c r="G21" s="4">
        <v>0</v>
      </c>
      <c r="I21" s="3"/>
      <c r="J21" s="3" t="s">
        <v>14</v>
      </c>
      <c r="K21" s="4">
        <v>0</v>
      </c>
      <c r="L21" s="2"/>
    </row>
    <row r="22" spans="1:12" ht="15.6">
      <c r="A22" s="2" t="s">
        <v>54</v>
      </c>
      <c r="B22" s="2" t="s">
        <v>55</v>
      </c>
      <c r="C22" s="3" t="s">
        <v>21</v>
      </c>
      <c r="D22" s="4">
        <v>365354686534.56</v>
      </c>
      <c r="E22" s="3"/>
      <c r="F22" s="3" t="s">
        <v>14</v>
      </c>
      <c r="G22" s="4">
        <v>0</v>
      </c>
      <c r="I22" s="3"/>
      <c r="J22" s="3" t="s">
        <v>14</v>
      </c>
      <c r="K22" s="4">
        <v>0</v>
      </c>
      <c r="L22" s="2"/>
    </row>
    <row r="23" spans="1:12" ht="15.6">
      <c r="A23" s="2" t="s">
        <v>56</v>
      </c>
      <c r="B23" s="2" t="s">
        <v>57</v>
      </c>
      <c r="C23" s="3" t="s">
        <v>13</v>
      </c>
      <c r="D23" s="4">
        <v>867778998074.60999</v>
      </c>
      <c r="E23" s="3"/>
      <c r="F23" s="3" t="s">
        <v>14</v>
      </c>
      <c r="G23" s="4">
        <v>0</v>
      </c>
      <c r="I23" s="3"/>
      <c r="J23" s="3" t="s">
        <v>14</v>
      </c>
      <c r="K23" s="4">
        <v>0</v>
      </c>
      <c r="L23" s="2"/>
    </row>
    <row r="24" spans="1:12" ht="15.6">
      <c r="A24" s="2" t="s">
        <v>58</v>
      </c>
      <c r="B24" s="2" t="s">
        <v>59</v>
      </c>
      <c r="C24" s="3" t="s">
        <v>21</v>
      </c>
      <c r="D24" s="4">
        <v>640262452968.54004</v>
      </c>
      <c r="E24" s="3"/>
      <c r="F24" s="3" t="s">
        <v>14</v>
      </c>
      <c r="G24" s="4">
        <v>0</v>
      </c>
      <c r="I24" s="3"/>
      <c r="J24" s="3" t="s">
        <v>14</v>
      </c>
      <c r="K24" s="4">
        <v>0</v>
      </c>
      <c r="L24" s="2"/>
    </row>
    <row r="25" spans="1:12" ht="15.6">
      <c r="A25" s="2" t="s">
        <v>60</v>
      </c>
      <c r="B25" s="2" t="s">
        <v>61</v>
      </c>
      <c r="C25" s="3" t="s">
        <v>13</v>
      </c>
      <c r="D25" s="4">
        <v>227516545106.07001</v>
      </c>
      <c r="E25" s="3"/>
      <c r="F25" s="3" t="s">
        <v>14</v>
      </c>
      <c r="G25" s="4">
        <v>0</v>
      </c>
      <c r="I25" s="3"/>
      <c r="J25" s="3" t="s">
        <v>14</v>
      </c>
      <c r="K25" s="4">
        <v>0</v>
      </c>
      <c r="L25" s="2"/>
    </row>
    <row r="26" spans="1:12" ht="15.6">
      <c r="A26" s="2" t="s">
        <v>62</v>
      </c>
      <c r="B26" s="2" t="s">
        <v>63</v>
      </c>
      <c r="C26" s="3" t="s">
        <v>21</v>
      </c>
      <c r="D26" s="4">
        <v>127516545106</v>
      </c>
      <c r="E26" s="3"/>
      <c r="F26" s="3" t="s">
        <v>14</v>
      </c>
      <c r="G26" s="4">
        <v>0</v>
      </c>
      <c r="I26" s="3"/>
      <c r="J26" s="3" t="s">
        <v>14</v>
      </c>
      <c r="K26" s="4">
        <v>0</v>
      </c>
      <c r="L26" s="2"/>
    </row>
    <row r="27" spans="1:12" ht="15.6">
      <c r="A27" s="2" t="s">
        <v>64</v>
      </c>
      <c r="B27" s="2" t="s">
        <v>65</v>
      </c>
      <c r="C27" s="3" t="s">
        <v>21</v>
      </c>
      <c r="D27" s="4">
        <v>100000000000</v>
      </c>
      <c r="E27" s="3"/>
      <c r="F27" s="3" t="s">
        <v>14</v>
      </c>
      <c r="G27" s="4">
        <v>0</v>
      </c>
      <c r="I27" s="3"/>
      <c r="J27" s="3" t="s">
        <v>14</v>
      </c>
      <c r="K27" s="4">
        <v>0</v>
      </c>
      <c r="L27" s="2"/>
    </row>
    <row r="28" spans="1:12" ht="15.6">
      <c r="A28" s="2" t="s">
        <v>66</v>
      </c>
      <c r="B28" s="2" t="s">
        <v>67</v>
      </c>
      <c r="C28" s="3" t="s">
        <v>13</v>
      </c>
      <c r="D28" s="4"/>
      <c r="E28" s="3"/>
      <c r="F28" s="3" t="s">
        <v>14</v>
      </c>
      <c r="G28" s="4">
        <v>0</v>
      </c>
      <c r="I28" s="3"/>
      <c r="J28" s="3" t="s">
        <v>14</v>
      </c>
      <c r="K28" s="4">
        <v>0</v>
      </c>
      <c r="L28" s="2"/>
    </row>
    <row r="29" spans="1:12" ht="15.6">
      <c r="A29" s="2" t="s">
        <v>68</v>
      </c>
      <c r="B29" s="2" t="s">
        <v>69</v>
      </c>
      <c r="C29" s="3" t="s">
        <v>21</v>
      </c>
      <c r="D29" s="4">
        <v>80000000000</v>
      </c>
      <c r="E29" s="3"/>
      <c r="F29" s="3" t="s">
        <v>14</v>
      </c>
      <c r="G29" s="4">
        <v>0</v>
      </c>
      <c r="I29" s="3"/>
      <c r="J29" s="3" t="s">
        <v>14</v>
      </c>
      <c r="K29" s="4">
        <v>0</v>
      </c>
      <c r="L29" s="2"/>
    </row>
    <row r="30" spans="1:12" ht="15.6">
      <c r="A30" s="2" t="s">
        <v>70</v>
      </c>
      <c r="B30" s="2" t="s">
        <v>71</v>
      </c>
      <c r="C30" s="3" t="s">
        <v>13</v>
      </c>
      <c r="D30" s="4"/>
      <c r="E30" s="3"/>
      <c r="F30" s="3" t="s">
        <v>14</v>
      </c>
      <c r="G30" s="4">
        <v>0</v>
      </c>
      <c r="I30" s="3"/>
      <c r="J30" s="3" t="s">
        <v>14</v>
      </c>
      <c r="K30" s="4">
        <v>0</v>
      </c>
      <c r="L30" s="2"/>
    </row>
    <row r="31" spans="1:12" ht="15.6">
      <c r="A31" s="2" t="s">
        <v>72</v>
      </c>
      <c r="B31" s="2" t="s">
        <v>73</v>
      </c>
      <c r="C31" s="3" t="s">
        <v>21</v>
      </c>
      <c r="D31" s="4">
        <v>35000000000</v>
      </c>
      <c r="E31" s="3"/>
      <c r="F31" s="3" t="s">
        <v>14</v>
      </c>
      <c r="G31" s="4">
        <v>0</v>
      </c>
      <c r="I31" s="3"/>
      <c r="J31" s="3" t="s">
        <v>14</v>
      </c>
      <c r="K31" s="4">
        <v>0</v>
      </c>
      <c r="L31" s="2"/>
    </row>
    <row r="32" spans="1:12" ht="15.6">
      <c r="A32" s="2" t="s">
        <v>74</v>
      </c>
      <c r="B32" s="2" t="s">
        <v>75</v>
      </c>
      <c r="C32" s="3" t="s">
        <v>21</v>
      </c>
      <c r="D32" s="4">
        <v>25000000000</v>
      </c>
      <c r="E32" s="3"/>
      <c r="F32" s="3" t="s">
        <v>14</v>
      </c>
      <c r="G32" s="4">
        <v>0</v>
      </c>
      <c r="I32" s="3"/>
      <c r="J32" s="3" t="s">
        <v>14</v>
      </c>
      <c r="K32" s="4">
        <v>0</v>
      </c>
      <c r="L32" s="2"/>
    </row>
    <row r="33" spans="1:12" ht="15.6">
      <c r="A33" s="2" t="s">
        <v>76</v>
      </c>
      <c r="B33" s="2" t="s">
        <v>77</v>
      </c>
      <c r="C33" s="3" t="s">
        <v>21</v>
      </c>
      <c r="D33" s="4">
        <v>10000000000</v>
      </c>
      <c r="E33" s="3"/>
      <c r="F33" s="3" t="s">
        <v>14</v>
      </c>
      <c r="G33" s="4">
        <v>0</v>
      </c>
      <c r="I33" s="3"/>
      <c r="J33" s="3" t="s">
        <v>14</v>
      </c>
      <c r="K33" s="4">
        <v>0</v>
      </c>
      <c r="L33" s="2"/>
    </row>
    <row r="34" spans="1:12" ht="15.6">
      <c r="A34" s="2" t="s">
        <v>78</v>
      </c>
      <c r="B34" s="2" t="s">
        <v>79</v>
      </c>
      <c r="C34" s="3" t="s">
        <v>13</v>
      </c>
      <c r="D34" s="4"/>
      <c r="E34" s="3"/>
      <c r="F34" s="3" t="s">
        <v>14</v>
      </c>
      <c r="G34" s="4">
        <v>0</v>
      </c>
      <c r="I34" s="3"/>
      <c r="J34" s="3" t="s">
        <v>14</v>
      </c>
      <c r="K34" s="4">
        <v>0</v>
      </c>
      <c r="L34" s="2"/>
    </row>
    <row r="35" spans="1:12" ht="15.6">
      <c r="A35" s="2" t="s">
        <v>80</v>
      </c>
      <c r="B35" s="2" t="s">
        <v>16</v>
      </c>
      <c r="C35" s="3" t="s">
        <v>13</v>
      </c>
      <c r="D35" s="4"/>
      <c r="E35" s="3"/>
      <c r="F35" s="3" t="s">
        <v>14</v>
      </c>
      <c r="G35" s="4">
        <v>0</v>
      </c>
      <c r="I35" s="3"/>
      <c r="J35" s="3" t="s">
        <v>14</v>
      </c>
      <c r="K35" s="4">
        <v>0</v>
      </c>
      <c r="L35" s="2"/>
    </row>
    <row r="36" spans="1:12" ht="15.6">
      <c r="A36" s="2" t="s">
        <v>81</v>
      </c>
      <c r="B36" s="2" t="s">
        <v>82</v>
      </c>
      <c r="C36" s="3" t="s">
        <v>13</v>
      </c>
      <c r="D36" s="4"/>
      <c r="E36" s="3"/>
      <c r="F36" s="3" t="s">
        <v>14</v>
      </c>
      <c r="G36" s="4">
        <v>0</v>
      </c>
      <c r="I36" s="3"/>
      <c r="J36" s="3" t="s">
        <v>14</v>
      </c>
      <c r="K36" s="4">
        <v>0</v>
      </c>
      <c r="L36" s="2"/>
    </row>
    <row r="37" spans="1:12" ht="15.6">
      <c r="A37" s="2" t="s">
        <v>83</v>
      </c>
      <c r="B37" s="2" t="s">
        <v>84</v>
      </c>
      <c r="C37" s="3" t="s">
        <v>13</v>
      </c>
      <c r="D37" s="4">
        <v>4222682106931.6401</v>
      </c>
      <c r="E37" s="3"/>
      <c r="F37" s="3" t="s">
        <v>14</v>
      </c>
      <c r="G37" s="4">
        <v>0</v>
      </c>
      <c r="I37" s="3"/>
      <c r="J37" s="3" t="s">
        <v>14</v>
      </c>
      <c r="K37" s="4">
        <v>0</v>
      </c>
      <c r="L37" s="2"/>
    </row>
    <row r="38" spans="1:12" ht="15.6">
      <c r="A38" s="2" t="s">
        <v>85</v>
      </c>
      <c r="B38" s="2" t="s">
        <v>86</v>
      </c>
      <c r="C38" s="3" t="s">
        <v>21</v>
      </c>
      <c r="D38" s="4">
        <v>2486212417437.0298</v>
      </c>
      <c r="E38" s="3"/>
      <c r="F38" s="3" t="s">
        <v>14</v>
      </c>
      <c r="G38" s="4">
        <v>0</v>
      </c>
      <c r="I38" s="3"/>
      <c r="J38" s="3" t="s">
        <v>14</v>
      </c>
      <c r="K38" s="4">
        <v>0</v>
      </c>
      <c r="L38" s="2"/>
    </row>
    <row r="39" spans="1:12" ht="15.6">
      <c r="A39" s="2" t="s">
        <v>87</v>
      </c>
      <c r="B39" s="2" t="s">
        <v>88</v>
      </c>
      <c r="C39" s="3" t="s">
        <v>21</v>
      </c>
      <c r="D39" s="4">
        <v>1736469689494.6101</v>
      </c>
      <c r="E39" s="3"/>
      <c r="F39" s="3" t="s">
        <v>14</v>
      </c>
      <c r="G39" s="4">
        <v>0</v>
      </c>
      <c r="I39" s="3"/>
      <c r="J39" s="3" t="s">
        <v>14</v>
      </c>
      <c r="K39" s="4">
        <v>0</v>
      </c>
      <c r="L39" s="2"/>
    </row>
    <row r="40" spans="1:12" ht="15.6">
      <c r="A40" s="2" t="s">
        <v>89</v>
      </c>
      <c r="B40" s="2" t="s">
        <v>90</v>
      </c>
      <c r="C40" s="3" t="s">
        <v>13</v>
      </c>
      <c r="D40" s="4">
        <v>2169431482604.05</v>
      </c>
      <c r="E40" s="3"/>
      <c r="F40" s="3" t="s">
        <v>14</v>
      </c>
      <c r="G40" s="4">
        <v>0</v>
      </c>
      <c r="I40" s="3"/>
      <c r="J40" s="3" t="s">
        <v>14</v>
      </c>
      <c r="K40" s="4">
        <v>0</v>
      </c>
      <c r="L40" s="2"/>
    </row>
    <row r="41" spans="1:12" ht="15.6">
      <c r="A41" s="2" t="s">
        <v>91</v>
      </c>
      <c r="B41" s="2" t="s">
        <v>92</v>
      </c>
      <c r="C41" s="3" t="s">
        <v>21</v>
      </c>
      <c r="D41" s="4">
        <v>434867199487.65002</v>
      </c>
      <c r="E41" s="3"/>
      <c r="F41" s="3" t="s">
        <v>14</v>
      </c>
      <c r="G41" s="4">
        <v>0</v>
      </c>
      <c r="I41" s="3"/>
      <c r="J41" s="3" t="s">
        <v>14</v>
      </c>
      <c r="K41" s="4">
        <v>0</v>
      </c>
      <c r="L41" s="2"/>
    </row>
    <row r="42" spans="1:12" ht="15.6">
      <c r="A42" s="2" t="s">
        <v>93</v>
      </c>
      <c r="B42" s="2" t="s">
        <v>94</v>
      </c>
      <c r="C42" s="3" t="s">
        <v>21</v>
      </c>
      <c r="D42" s="4">
        <v>1734564283116.3999</v>
      </c>
      <c r="E42" s="3"/>
      <c r="F42" s="3" t="s">
        <v>14</v>
      </c>
      <c r="G42" s="4">
        <v>0</v>
      </c>
      <c r="I42" s="3"/>
      <c r="J42" s="3" t="s">
        <v>14</v>
      </c>
      <c r="K42" s="4">
        <v>0</v>
      </c>
      <c r="L42" s="2"/>
    </row>
    <row r="43" spans="1:12" ht="15.6">
      <c r="A43" s="2" t="s">
        <v>95</v>
      </c>
      <c r="B43" s="2" t="s">
        <v>96</v>
      </c>
      <c r="C43" s="3" t="s">
        <v>13</v>
      </c>
      <c r="D43" s="4"/>
      <c r="E43" s="3"/>
      <c r="F43" s="3" t="s">
        <v>14</v>
      </c>
      <c r="G43" s="4">
        <v>0</v>
      </c>
      <c r="I43" s="3"/>
      <c r="J43" s="3" t="s">
        <v>14</v>
      </c>
      <c r="K43" s="4">
        <v>0</v>
      </c>
      <c r="L43" s="2"/>
    </row>
    <row r="44" spans="1:12" ht="15.6">
      <c r="A44" s="2" t="s">
        <v>97</v>
      </c>
      <c r="B44" s="2" t="s">
        <v>98</v>
      </c>
      <c r="C44" s="3" t="s">
        <v>13</v>
      </c>
      <c r="D44" s="4"/>
      <c r="E44" s="3"/>
      <c r="F44" s="3" t="s">
        <v>14</v>
      </c>
      <c r="G44" s="4">
        <v>0</v>
      </c>
      <c r="I44" s="3"/>
      <c r="J44" s="3" t="s">
        <v>14</v>
      </c>
      <c r="K44" s="4">
        <v>0</v>
      </c>
      <c r="L44" s="2"/>
    </row>
    <row r="45" spans="1:12" ht="15.6">
      <c r="A45" s="2" t="s">
        <v>99</v>
      </c>
      <c r="B45" s="2" t="s">
        <v>100</v>
      </c>
      <c r="C45" s="3" t="s">
        <v>21</v>
      </c>
      <c r="D45" s="4">
        <v>32988348999.990002</v>
      </c>
      <c r="E45" s="3"/>
      <c r="F45" s="3" t="s">
        <v>14</v>
      </c>
      <c r="G45" s="4">
        <v>0</v>
      </c>
      <c r="I45" s="3"/>
      <c r="J45" s="3" t="s">
        <v>14</v>
      </c>
      <c r="K45" s="4">
        <v>0</v>
      </c>
      <c r="L45" s="2"/>
    </row>
    <row r="46" spans="1:12" ht="15.6">
      <c r="A46" s="2" t="s">
        <v>101</v>
      </c>
      <c r="B46" s="2" t="s">
        <v>102</v>
      </c>
      <c r="C46" s="3" t="s">
        <v>21</v>
      </c>
      <c r="D46" s="4">
        <v>95875096000</v>
      </c>
      <c r="E46" s="3"/>
      <c r="F46" s="3" t="s">
        <v>14</v>
      </c>
      <c r="G46" s="4">
        <v>0</v>
      </c>
      <c r="I46" s="3"/>
      <c r="J46" s="3" t="s">
        <v>14</v>
      </c>
      <c r="K46" s="4">
        <v>0</v>
      </c>
      <c r="L46" s="2"/>
    </row>
    <row r="47" spans="1:12" ht="15.6">
      <c r="A47" s="2" t="s">
        <v>103</v>
      </c>
      <c r="B47" s="2" t="s">
        <v>104</v>
      </c>
      <c r="C47" s="3" t="s">
        <v>21</v>
      </c>
      <c r="D47" s="4">
        <v>932237942418.68994</v>
      </c>
      <c r="E47" s="3"/>
      <c r="F47" s="3" t="s">
        <v>14</v>
      </c>
      <c r="G47" s="4">
        <v>0</v>
      </c>
      <c r="I47" s="3"/>
      <c r="J47" s="3" t="s">
        <v>14</v>
      </c>
      <c r="K47" s="4">
        <v>0</v>
      </c>
      <c r="L47" s="2"/>
    </row>
    <row r="48" spans="1:12" ht="15.6">
      <c r="A48" s="2" t="s">
        <v>105</v>
      </c>
      <c r="B48" s="2" t="s">
        <v>106</v>
      </c>
      <c r="C48" s="3" t="s">
        <v>21</v>
      </c>
      <c r="D48" s="4">
        <v>915605054241.89001</v>
      </c>
      <c r="E48" s="3"/>
      <c r="F48" s="3" t="s">
        <v>14</v>
      </c>
      <c r="G48" s="4">
        <v>0</v>
      </c>
      <c r="I48" s="3"/>
      <c r="J48" s="3" t="s">
        <v>14</v>
      </c>
      <c r="K48" s="4">
        <v>0</v>
      </c>
      <c r="L48" s="2"/>
    </row>
    <row r="49" spans="1:12" ht="15.6">
      <c r="A49" s="2" t="s">
        <v>107</v>
      </c>
      <c r="B49" s="2" t="s">
        <v>108</v>
      </c>
      <c r="C49" s="3" t="s">
        <v>21</v>
      </c>
      <c r="D49" s="4">
        <v>1000000000</v>
      </c>
      <c r="E49" s="3"/>
      <c r="F49" s="3" t="s">
        <v>14</v>
      </c>
      <c r="G49" s="4">
        <v>0</v>
      </c>
      <c r="I49" s="3"/>
      <c r="J49" s="3" t="s">
        <v>14</v>
      </c>
      <c r="K49" s="4">
        <v>0</v>
      </c>
      <c r="L49" s="2"/>
    </row>
    <row r="50" spans="1:12" ht="15.6">
      <c r="A50" s="2" t="s">
        <v>109</v>
      </c>
      <c r="B50" s="2" t="s">
        <v>110</v>
      </c>
      <c r="C50" s="3" t="s">
        <v>13</v>
      </c>
      <c r="D50" s="4"/>
      <c r="E50" s="3"/>
      <c r="F50" s="3" t="s">
        <v>14</v>
      </c>
      <c r="G50" s="4">
        <v>0</v>
      </c>
      <c r="I50" s="3"/>
      <c r="J50" s="3" t="s">
        <v>14</v>
      </c>
      <c r="K50" s="4">
        <v>0</v>
      </c>
      <c r="L50" s="2"/>
    </row>
    <row r="51" spans="1:12" ht="15.6">
      <c r="A51" s="2" t="s">
        <v>111</v>
      </c>
      <c r="B51" s="2" t="s">
        <v>112</v>
      </c>
      <c r="C51" s="3" t="s">
        <v>21</v>
      </c>
      <c r="D51" s="4">
        <v>353887790000</v>
      </c>
      <c r="E51" s="3"/>
      <c r="F51" s="3" t="s">
        <v>14</v>
      </c>
      <c r="G51" s="4">
        <v>0</v>
      </c>
      <c r="I51" s="3"/>
      <c r="J51" s="3" t="s">
        <v>14</v>
      </c>
      <c r="K51" s="4">
        <v>0</v>
      </c>
      <c r="L51" s="2"/>
    </row>
    <row r="52" spans="1:12" ht="15.6">
      <c r="A52" s="2" t="s">
        <v>113</v>
      </c>
      <c r="B52" s="2" t="s">
        <v>114</v>
      </c>
      <c r="C52" s="3" t="s">
        <v>21</v>
      </c>
      <c r="D52" s="4">
        <v>160370000000</v>
      </c>
      <c r="E52" s="3"/>
      <c r="F52" s="3" t="s">
        <v>14</v>
      </c>
      <c r="G52" s="4">
        <v>0</v>
      </c>
      <c r="I52" s="3"/>
      <c r="J52" s="3" t="s">
        <v>14</v>
      </c>
      <c r="K52" s="4">
        <v>0</v>
      </c>
      <c r="L52" s="2"/>
    </row>
    <row r="53" spans="1:12" ht="15.6">
      <c r="A53" s="2" t="s">
        <v>115</v>
      </c>
      <c r="B53" s="2" t="s">
        <v>116</v>
      </c>
      <c r="C53" s="3" t="s">
        <v>21</v>
      </c>
      <c r="D53" s="4">
        <v>42212093203.190002</v>
      </c>
      <c r="E53" s="3"/>
      <c r="F53" s="3" t="s">
        <v>14</v>
      </c>
      <c r="G53" s="4">
        <v>0</v>
      </c>
      <c r="I53" s="3"/>
      <c r="J53" s="3" t="s">
        <v>14</v>
      </c>
      <c r="K53" s="4">
        <v>0</v>
      </c>
      <c r="L53" s="2"/>
    </row>
    <row r="54" spans="1:12" ht="15.6">
      <c r="A54" s="2" t="s">
        <v>117</v>
      </c>
      <c r="B54" s="2" t="s">
        <v>118</v>
      </c>
      <c r="C54" s="3" t="s">
        <v>21</v>
      </c>
      <c r="D54" s="4">
        <v>1525214781.8399999</v>
      </c>
      <c r="E54" s="3"/>
      <c r="F54" s="3" t="s">
        <v>14</v>
      </c>
      <c r="G54" s="4">
        <v>0</v>
      </c>
      <c r="I54" s="3"/>
      <c r="J54" s="3" t="s">
        <v>14</v>
      </c>
      <c r="K54" s="4">
        <v>0</v>
      </c>
      <c r="L54" s="2"/>
    </row>
    <row r="55" spans="1:12" ht="15.6">
      <c r="A55" s="2" t="s">
        <v>119</v>
      </c>
      <c r="B55" s="2" t="s">
        <v>67</v>
      </c>
      <c r="C55" s="3" t="s">
        <v>13</v>
      </c>
      <c r="D55" s="4"/>
      <c r="E55" s="3"/>
      <c r="F55" s="3" t="s">
        <v>14</v>
      </c>
      <c r="G55" s="4">
        <v>0</v>
      </c>
      <c r="I55" s="3"/>
      <c r="J55" s="3" t="s">
        <v>14</v>
      </c>
      <c r="K55" s="4">
        <v>0</v>
      </c>
      <c r="L55" s="2"/>
    </row>
    <row r="56" spans="1:12" ht="15.6">
      <c r="A56" s="2" t="s">
        <v>120</v>
      </c>
      <c r="B56" s="2" t="s">
        <v>121</v>
      </c>
      <c r="C56" s="3" t="s">
        <v>21</v>
      </c>
      <c r="D56" s="4">
        <v>150000000000</v>
      </c>
      <c r="E56" s="3"/>
      <c r="F56" s="3" t="s">
        <v>14</v>
      </c>
      <c r="G56" s="4">
        <v>0</v>
      </c>
      <c r="I56" s="3"/>
      <c r="J56" s="3" t="s">
        <v>14</v>
      </c>
      <c r="K56" s="4">
        <v>0</v>
      </c>
      <c r="L56" s="2"/>
    </row>
    <row r="57" spans="1:12" ht="15.6">
      <c r="A57" s="2" t="s">
        <v>122</v>
      </c>
      <c r="B57" s="2" t="s">
        <v>123</v>
      </c>
      <c r="C57" s="3" t="s">
        <v>21</v>
      </c>
      <c r="D57" s="4">
        <v>80000000000</v>
      </c>
      <c r="E57" s="3"/>
      <c r="F57" s="3" t="s">
        <v>14</v>
      </c>
      <c r="G57" s="4">
        <v>0</v>
      </c>
      <c r="I57" s="3"/>
      <c r="J57" s="3" t="s">
        <v>14</v>
      </c>
      <c r="K57" s="4">
        <v>0</v>
      </c>
      <c r="L57" s="2"/>
    </row>
    <row r="58" spans="1:12" ht="15.6">
      <c r="A58" s="5" t="s">
        <v>124</v>
      </c>
      <c r="B58" s="5" t="s">
        <v>125</v>
      </c>
      <c r="C58" s="6" t="s">
        <v>21</v>
      </c>
      <c r="D58" s="7">
        <v>786217000000</v>
      </c>
      <c r="E58" s="6"/>
      <c r="F58" s="6" t="s">
        <v>14</v>
      </c>
      <c r="G58" s="7">
        <v>0</v>
      </c>
      <c r="H58" s="8"/>
      <c r="I58" s="6"/>
      <c r="J58" s="6" t="s">
        <v>14</v>
      </c>
      <c r="K58" s="7">
        <v>0</v>
      </c>
      <c r="L58" s="5"/>
    </row>
    <row r="59" spans="1:12" ht="15.6">
      <c r="A59" s="5" t="s">
        <v>126</v>
      </c>
      <c r="B59" s="5" t="s">
        <v>127</v>
      </c>
      <c r="C59" s="6" t="s">
        <v>13</v>
      </c>
      <c r="D59" s="7"/>
      <c r="E59" s="6"/>
      <c r="F59" s="6" t="s">
        <v>14</v>
      </c>
      <c r="G59" s="7">
        <v>0</v>
      </c>
      <c r="H59" s="8"/>
      <c r="I59" s="6"/>
      <c r="J59" s="6" t="s">
        <v>14</v>
      </c>
      <c r="K59" s="7">
        <v>0</v>
      </c>
      <c r="L59" s="5"/>
    </row>
    <row r="60" spans="1:12" ht="16.2">
      <c r="A60" s="5" t="s">
        <v>128</v>
      </c>
      <c r="B60" s="5" t="s">
        <v>129</v>
      </c>
      <c r="C60" s="6" t="s">
        <v>21</v>
      </c>
      <c r="D60" s="7">
        <v>156000000000</v>
      </c>
      <c r="E60" s="6" t="s">
        <v>21</v>
      </c>
      <c r="F60" s="6">
        <v>1</v>
      </c>
      <c r="G60" s="9" t="str">
        <f ca="1">IF(E60="是",D60*G60,0)</f>
        <v/>
      </c>
      <c r="H60" s="8"/>
      <c r="I60" s="6" t="s">
        <v>13</v>
      </c>
      <c r="J60" s="6" t="s">
        <v>14</v>
      </c>
      <c r="K60" s="7">
        <v>0</v>
      </c>
      <c r="L60" s="5" t="s">
        <v>130</v>
      </c>
    </row>
    <row r="61" spans="1:12" ht="16.2">
      <c r="A61" s="5" t="s">
        <v>131</v>
      </c>
      <c r="B61" s="5" t="s">
        <v>132</v>
      </c>
      <c r="C61" s="6" t="s">
        <v>21</v>
      </c>
      <c r="D61" s="7">
        <v>380000000000</v>
      </c>
      <c r="E61" s="6" t="s">
        <v>21</v>
      </c>
      <c r="F61" s="6">
        <v>1</v>
      </c>
      <c r="G61" s="9" t="str">
        <f ca="1">IF(E61="是",D61*G61,0)</f>
        <v/>
      </c>
      <c r="H61" s="8"/>
      <c r="I61" s="6" t="s">
        <v>13</v>
      </c>
      <c r="J61" s="6" t="s">
        <v>14</v>
      </c>
      <c r="K61" s="7">
        <v>0</v>
      </c>
      <c r="L61" s="5" t="s">
        <v>133</v>
      </c>
    </row>
    <row r="62" spans="1:12" ht="16.2">
      <c r="A62" s="5" t="s">
        <v>134</v>
      </c>
      <c r="B62" s="5" t="s">
        <v>135</v>
      </c>
      <c r="C62" s="6" t="s">
        <v>21</v>
      </c>
      <c r="D62" s="7">
        <v>54000000000</v>
      </c>
      <c r="E62" s="6" t="s">
        <v>21</v>
      </c>
      <c r="F62" s="6">
        <v>1</v>
      </c>
      <c r="G62" s="9" t="str">
        <f ca="1">IF(E62="是",D62*G62,0)</f>
        <v/>
      </c>
      <c r="H62" s="8"/>
      <c r="I62" s="6" t="s">
        <v>13</v>
      </c>
      <c r="J62" s="6" t="s">
        <v>14</v>
      </c>
      <c r="K62" s="7">
        <v>0</v>
      </c>
      <c r="L62" s="5" t="s">
        <v>136</v>
      </c>
    </row>
    <row r="63" spans="1:12" ht="16.2">
      <c r="A63" s="5" t="s">
        <v>137</v>
      </c>
      <c r="B63" s="5" t="s">
        <v>138</v>
      </c>
      <c r="C63" s="6" t="s">
        <v>21</v>
      </c>
      <c r="D63" s="7">
        <v>90000000000</v>
      </c>
      <c r="E63" s="6" t="s">
        <v>21</v>
      </c>
      <c r="F63" s="6">
        <v>1</v>
      </c>
      <c r="G63" s="9" t="str">
        <f ca="1">IF(E63="是",D63*G63,0)</f>
        <v/>
      </c>
      <c r="H63" s="8"/>
      <c r="I63" s="6" t="s">
        <v>13</v>
      </c>
      <c r="J63" s="6" t="s">
        <v>14</v>
      </c>
      <c r="K63" s="7">
        <v>0</v>
      </c>
      <c r="L63" s="5" t="s">
        <v>139</v>
      </c>
    </row>
    <row r="64" spans="1:12" ht="15.6">
      <c r="A64" s="5" t="s">
        <v>140</v>
      </c>
      <c r="B64" s="5" t="s">
        <v>141</v>
      </c>
      <c r="C64" s="6" t="s">
        <v>13</v>
      </c>
      <c r="D64" s="7"/>
      <c r="E64" s="6"/>
      <c r="F64" s="6" t="s">
        <v>14</v>
      </c>
      <c r="G64" s="7">
        <v>0</v>
      </c>
      <c r="H64" s="8"/>
      <c r="I64" s="6"/>
      <c r="J64" s="6" t="s">
        <v>14</v>
      </c>
      <c r="K64" s="7">
        <v>0</v>
      </c>
      <c r="L64" s="5" t="s">
        <v>142</v>
      </c>
    </row>
    <row r="65" spans="1:12" ht="16.2">
      <c r="A65" s="5" t="s">
        <v>143</v>
      </c>
      <c r="B65" s="5" t="s">
        <v>144</v>
      </c>
      <c r="C65" s="6" t="s">
        <v>21</v>
      </c>
      <c r="D65" s="7">
        <v>-660000000000</v>
      </c>
      <c r="E65" s="6" t="s">
        <v>21</v>
      </c>
      <c r="F65" s="6">
        <v>-1</v>
      </c>
      <c r="G65" s="9" t="str">
        <f ca="1">IF(E65="是",D65*G65,0)</f>
        <v/>
      </c>
      <c r="H65" s="8"/>
      <c r="I65" s="6" t="s">
        <v>13</v>
      </c>
      <c r="J65" s="6" t="s">
        <v>14</v>
      </c>
      <c r="K65" s="7">
        <v>0</v>
      </c>
      <c r="L65" s="5" t="s">
        <v>145</v>
      </c>
    </row>
    <row r="66" spans="1:12" ht="16.2">
      <c r="A66" s="5" t="s">
        <v>146</v>
      </c>
      <c r="B66" s="5" t="s">
        <v>147</v>
      </c>
      <c r="C66" s="6" t="s">
        <v>21</v>
      </c>
      <c r="D66" s="7">
        <v>-370000000000</v>
      </c>
      <c r="E66" s="6" t="s">
        <v>21</v>
      </c>
      <c r="F66" s="6">
        <v>-1</v>
      </c>
      <c r="G66" s="9" t="str">
        <f ca="1">IF(E66="是",D66*G66,0)</f>
        <v/>
      </c>
      <c r="H66" s="8"/>
      <c r="I66" s="6" t="s">
        <v>13</v>
      </c>
      <c r="J66" s="6" t="s">
        <v>14</v>
      </c>
      <c r="K66" s="7">
        <v>0</v>
      </c>
      <c r="L66" s="5" t="s">
        <v>148</v>
      </c>
    </row>
    <row r="67" spans="1:12" ht="16.2">
      <c r="A67" s="5" t="s">
        <v>149</v>
      </c>
      <c r="B67" s="5" t="s">
        <v>150</v>
      </c>
      <c r="C67" s="6" t="s">
        <v>21</v>
      </c>
      <c r="D67" s="7">
        <v>-100000000000</v>
      </c>
      <c r="E67" s="6" t="s">
        <v>21</v>
      </c>
      <c r="F67" s="6">
        <v>-1</v>
      </c>
      <c r="G67" s="9" t="str">
        <f ca="1">IF(E67="是",D67*G67,0)</f>
        <v/>
      </c>
      <c r="H67" s="8"/>
      <c r="I67" s="6" t="s">
        <v>13</v>
      </c>
      <c r="J67" s="6" t="s">
        <v>14</v>
      </c>
      <c r="K67" s="7">
        <v>0</v>
      </c>
      <c r="L67" s="5" t="s">
        <v>151</v>
      </c>
    </row>
    <row r="68" spans="1:12" ht="16.2">
      <c r="A68" s="5" t="s">
        <v>152</v>
      </c>
      <c r="B68" s="5" t="s">
        <v>153</v>
      </c>
      <c r="C68" s="6" t="s">
        <v>21</v>
      </c>
      <c r="D68" s="7">
        <v>30000000000</v>
      </c>
      <c r="E68" s="6" t="s">
        <v>21</v>
      </c>
      <c r="F68" s="6">
        <v>1</v>
      </c>
      <c r="G68" s="9" t="str">
        <f ca="1">IF(E68="是",D68*G68,0)</f>
        <v/>
      </c>
      <c r="H68" s="8"/>
      <c r="I68" s="6" t="s">
        <v>13</v>
      </c>
      <c r="J68" s="6" t="s">
        <v>14</v>
      </c>
      <c r="K68" s="7">
        <v>0</v>
      </c>
      <c r="L68" s="5" t="s">
        <v>154</v>
      </c>
    </row>
    <row r="69" spans="1:12" ht="16.2">
      <c r="A69" s="2" t="s">
        <v>155</v>
      </c>
      <c r="B69" s="2" t="s">
        <v>156</v>
      </c>
      <c r="C69" s="3" t="s">
        <v>21</v>
      </c>
      <c r="D69" s="4">
        <v>-246000000000</v>
      </c>
      <c r="E69" s="3" t="s">
        <v>21</v>
      </c>
      <c r="F69" s="3">
        <v>-1</v>
      </c>
      <c r="G69" s="10" t="str">
        <f ca="1">IF(E69="是",D69*G69,0)</f>
        <v/>
      </c>
      <c r="I69" s="3" t="s">
        <v>13</v>
      </c>
      <c r="J69" s="3" t="s">
        <v>14</v>
      </c>
      <c r="K69" s="4">
        <v>0</v>
      </c>
      <c r="L69" s="2" t="s">
        <v>157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tabSelected="1" workbookViewId="0">
      <selection activeCell="E19" sqref="E19"/>
    </sheetView>
  </sheetViews>
  <sheetFormatPr defaultRowHeight="14.4"/>
  <cols>
    <col min="1" max="1" width="38" customWidth="1"/>
    <col min="2" max="2" width="24" customWidth="1"/>
    <col min="3" max="3" width="12" customWidth="1"/>
  </cols>
  <sheetData>
    <row r="1" spans="1:3" ht="24" customHeight="1">
      <c r="A1" s="18" t="s">
        <v>158</v>
      </c>
      <c r="B1" s="17"/>
      <c r="C1" s="17"/>
    </row>
    <row r="2" spans="1:3" ht="24" customHeight="1">
      <c r="A2" s="19" t="s">
        <v>164</v>
      </c>
      <c r="B2" s="19"/>
      <c r="C2" s="19"/>
    </row>
    <row r="3" spans="1:3" ht="16.2">
      <c r="A3" s="11" t="s">
        <v>163</v>
      </c>
      <c r="B3" s="12">
        <f>ROE项目明细!D58</f>
        <v>786217000000</v>
      </c>
    </row>
    <row r="5" spans="1:3" ht="24" customHeight="1">
      <c r="A5" s="16" t="s">
        <v>165</v>
      </c>
      <c r="B5" s="16"/>
      <c r="C5" s="16"/>
    </row>
    <row r="6" spans="1:3" ht="16.2">
      <c r="A6" s="11" t="s">
        <v>166</v>
      </c>
      <c r="B6" s="12">
        <v>700000000000</v>
      </c>
      <c r="C6" t="s">
        <v>168</v>
      </c>
    </row>
    <row r="8" spans="1:3" ht="24" customHeight="1">
      <c r="A8" s="20" t="s">
        <v>161</v>
      </c>
      <c r="B8" s="17"/>
      <c r="C8" s="17"/>
    </row>
    <row r="9" spans="1:3" ht="17.399999999999999">
      <c r="A9" s="11" t="s">
        <v>162</v>
      </c>
      <c r="B9" s="13">
        <f>B3/B6-1</f>
        <v>0.12316714285714281</v>
      </c>
    </row>
    <row r="11" spans="1:3" ht="24" customHeight="1">
      <c r="A11" s="16" t="s">
        <v>159</v>
      </c>
      <c r="B11" s="17"/>
      <c r="C11" s="17"/>
    </row>
    <row r="12" spans="1:3" ht="15.6">
      <c r="A12" s="2" t="s">
        <v>167</v>
      </c>
      <c r="B12" s="15">
        <v>0.08</v>
      </c>
    </row>
    <row r="13" spans="1:3" ht="15.6">
      <c r="A13" s="2" t="s">
        <v>160</v>
      </c>
      <c r="B13" s="14" t="str">
        <f>IF(B9&gt;=B12,"达标","不达标")</f>
        <v>达标</v>
      </c>
    </row>
  </sheetData>
  <mergeCells count="5">
    <mergeCell ref="A11:C11"/>
    <mergeCell ref="A1:C1"/>
    <mergeCell ref="A2:C2"/>
    <mergeCell ref="A8:C8"/>
    <mergeCell ref="A5:C5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ROE项目明细</vt:lpstr>
      <vt:lpstr>ROE计算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 lee</cp:lastModifiedBy>
  <dcterms:created xsi:type="dcterms:W3CDTF">2026-09-29T09:15:48Z</dcterms:created>
  <dcterms:modified xsi:type="dcterms:W3CDTF">2026-10-26T09:03:24Z</dcterms:modified>
</cp:coreProperties>
</file>